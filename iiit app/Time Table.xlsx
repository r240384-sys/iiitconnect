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2S1_R24_TIME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<sst xmlns="http://schemas.openxmlformats.org/spreadsheetml/2006/main" count="838" uniqueCount="82">
  <si>
    <t xml:space="preserve">IIIT-R.K.VALLEY, RAJIV GANDHI UNIVERSITY OF KNOWLEDGE TECHNOLOGIES, A.P.
PUC-II (2024 ATCH) SEMESTER-I, TIME-TALE (W.e.f. 03.12.2025)</t>
  </si>
  <si>
    <t xml:space="preserve">SECTION</t>
  </si>
  <si>
    <t xml:space="preserve">CLASS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</si>
  <si>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</si>
  <si>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</si>
  <si>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</si>
  <si>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</si>
  <si>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</si>
  <si>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</si>
  <si>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</si>
  <si>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</si>
  <si>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</si>
  <si>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</si>
  <si>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</si>
  <si>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</si>
  <si>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</si>
  <si>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IT</t>
  </si>
  <si>
    <t xml:space="preserve">M</t>
  </si>
  <si>
    <t xml:space="preserve">MT</t>
  </si>
  <si>
    <t xml:space="preserve">P</t>
  </si>
  <si>
    <t xml:space="preserve">PT</t>
  </si>
  <si>
    <t xml:space="preserve">C</t>
  </si>
  <si>
    <t xml:space="preserve">CT</t>
  </si>
  <si>
    <t xml:space="preserve">E</t>
  </si>
  <si>
    <t xml:space="preserve">ET</t>
  </si>
  <si>
    <t xml:space="preserve">T</t>
  </si>
  <si>
    <t xml:space="preserve">ITL</t>
  </si>
  <si>
    <t xml:space="preserve">PL</t>
  </si>
  <si>
    <t xml:space="preserve">CL</t>
  </si>
  <si>
    <t xml:space="preserve">L</t>
  </si>
  <si>
    <t xml:space="preserve">Total</t>
  </si>
  <si>
    <t xml:space="preserve">old campus</t>
  </si>
  <si>
    <t xml:space="preserve">Mue-1</t>
  </si>
  <si>
    <t xml:space="preserve">Mue-2</t>
  </si>
  <si>
    <t xml:space="preserve"> </t>
  </si>
  <si>
    <t xml:space="preserve">Mue-3</t>
  </si>
  <si>
    <t xml:space="preserve">Mue-4</t>
  </si>
  <si>
    <t xml:space="preserve">Mue-5</t>
  </si>
  <si>
    <t xml:space="preserve">Mue-6</t>
  </si>
  <si>
    <t xml:space="preserve">Mue-7</t>
  </si>
  <si>
    <t xml:space="preserve">Mue-8</t>
  </si>
  <si>
    <t xml:space="preserve">Mue-9</t>
  </si>
  <si>
    <t xml:space="preserve">Mue-10</t>
  </si>
  <si>
    <t xml:space="preserve">phi-1</t>
  </si>
  <si>
    <t xml:space="preserve">phi-2</t>
  </si>
  <si>
    <t xml:space="preserve">phi-3</t>
  </si>
  <si>
    <t xml:space="preserve">B</t>
  </si>
  <si>
    <t xml:space="preserve">BL</t>
  </si>
  <si>
    <t xml:space="preserve">AB1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</si>
  <si>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</si>
  <si>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</si>
  <si>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</si>
  <si>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</si>
  <si>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</si>
  <si>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</si>
  <si>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Period</t>
  </si>
  <si>
    <t xml:space="preserve">Timings</t>
  </si>
  <si>
    <t xml:space="preserve">MaxC</t>
  </si>
  <si>
    <t xml:space="preserve">8:30 AM - 9:30 AM</t>
  </si>
  <si>
    <t xml:space="preserve">LUNCH</t>
  </si>
  <si>
    <t xml:space="preserve">12:40 PM - 1:40 PM</t>
  </si>
  <si>
    <t xml:space="preserve">9:30 AM - 10:30 AM</t>
  </si>
  <si>
    <t xml:space="preserve">1:40 PM - 2:40 PM</t>
  </si>
  <si>
    <t xml:space="preserve">Break</t>
  </si>
  <si>
    <t xml:space="preserve">10:30 AM - 10:40 AM</t>
  </si>
  <si>
    <t xml:space="preserve">2:40 PM - 3:40 PM</t>
  </si>
  <si>
    <t xml:space="preserve">10:40 AM - 11:40 AM</t>
  </si>
  <si>
    <t xml:space="preserve">3:40 PM - 3:50 PM</t>
  </si>
  <si>
    <t xml:space="preserve">11:40 PM - 12:40 PM</t>
  </si>
  <si>
    <t xml:space="preserve">3:50 PM - 4:50 PM</t>
  </si>
  <si>
    <t xml:space="preserve">Subject Lables</t>
  </si>
  <si>
    <t xml:space="preserve">Biology Lecture</t>
  </si>
  <si>
    <t xml:space="preserve">IT Lecture</t>
  </si>
  <si>
    <t xml:space="preserve">Biology Lab</t>
  </si>
  <si>
    <t xml:space="preserve">Maths Lecture</t>
  </si>
  <si>
    <t xml:space="preserve">Chemistry Lecture</t>
  </si>
  <si>
    <t xml:space="preserve">Physics Lecture</t>
  </si>
  <si>
    <t xml:space="preserve">Chemistry Lab</t>
  </si>
  <si>
    <t xml:space="preserve">Physics Lab</t>
  </si>
  <si>
    <t xml:space="preserve">English Lecture</t>
  </si>
  <si>
    <t xml:space="preserve">Telugu Lecture</t>
  </si>
  <si>
    <t xml:space="preserve">IT Lab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</si>
</sst>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name val="Arial Black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8"/>
      <name val="Arial Black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5" tint="0.7999"/>
        <bgColor rgb="FFFFFFFF"/>
      </patternFill>
    </fill>
    <fill>
      <patternFill patternType="solid">
        <fgColor rgb="FFFF3399"/>
        <bgColor rgb="FFFF33CC"/>
      </patternFill>
    </fill>
    <fill>
      <patternFill patternType="solid">
        <fgColor rgb="FF92D050"/>
        <bgColor rgb="FF70AD47"/>
      </patternFill>
    </fill>
    <fill>
      <patternFill patternType="solid">
        <fgColor rgb="FFFF0000"/>
        <bgColor rgb="FFFF3B3B"/>
      </patternFill>
    </fill>
    <fill>
      <patternFill patternType="solid">
        <fgColor rgb="FFD09E00"/>
        <bgColor rgb="FFBF9000"/>
      </patternFill>
    </fill>
    <fill>
      <patternFill patternType="solid">
        <fgColor rgb="FF00B0F0"/>
        <bgColor rgb="FF33CCCC"/>
      </patternFill>
    </fill>
    <fill>
      <patternFill patternType="solid">
        <fgColor theme="5" tint="0.3999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D09E00"/>
      </patternFill>
    </fill>
    <fill>
      <patternFill patternType="solid">
        <fgColor theme="0"/>
        <bgColor rgb="FFFBE5D6"/>
      </patternFill>
    </fill>
    <fill>
      <patternFill patternType="solid">
        <fgColor theme="9"/>
        <bgColor rgb="FF92D050"/>
      </patternFill>
    </fill>
    <fill>
      <patternFill patternType="solid">
        <fgColor theme="7" tint="-0.25"/>
        <bgColor rgb="FFD09E00"/>
      </patternFill>
    </fill>
    <fill>
      <patternFill patternType="solid">
        <fgColor rgb="FFFF33CC"/>
        <bgColor rgb="FFFF3399"/>
      </patternFill>
    </fill>
    <fill>
      <patternFill patternType="solid">
        <fgColor rgb="FFFF3B3B"/>
        <bgColor rgb="FFFF3399"/>
      </patternFill>
    </fill>
    <fill>
      <patternFill patternType="solid">
        <fgColor rgb="FFFA06CC"/>
        <bgColor rgb="FFFF33CC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0" fillId="11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0" fillId="11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A06CC"/>
      <rgbColor rgb="FF00FFFF"/>
      <rgbColor rgb="FF800000"/>
      <rgbColor rgb="FF008000"/>
      <rgbColor rgb="FF000080"/>
      <rgbColor rgb="FFBF9000"/>
      <rgbColor rgb="FF800080"/>
      <rgbColor rgb="FF008080"/>
      <rgbColor rgb="FFC0C0C0"/>
      <rgbColor rgb="FF808080"/>
      <rgbColor rgb="FF9999FF"/>
      <rgbColor rgb="FFFF3399"/>
      <rgbColor rgb="FFFBE5D6"/>
      <rgbColor rgb="FFCCFFFF"/>
      <rgbColor rgb="FF660066"/>
      <rgbColor rgb="FFFF8080"/>
      <rgbColor rgb="FF0066CC"/>
      <rgbColor rgb="FFCCCCFF"/>
      <rgbColor rgb="FF000080"/>
      <rgbColor rgb="FFFF33CC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2D050"/>
      <rgbColor rgb="FFFFC000"/>
      <rgbColor rgb="FFD09E00"/>
      <rgbColor rgb="FFFF3B3B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1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O14" activeCellId="0" sqref="O14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.86"/>
    <col collapsed="false" customWidth="true" hidden="false" outlineLevel="0" max="2" min="2" style="1" width="8.72"/>
    <col collapsed="false" customWidth="true" hidden="false" outlineLevel="0" max="44" min="3" style="1" width="2.86"/>
    <col collapsed="false" customWidth="true" hidden="false" outlineLevel="0" max="45" min="45" style="1" width="3.15"/>
    <col collapsed="false" customWidth="true" hidden="false" outlineLevel="0" max="46" min="46" style="1" width="2.57"/>
    <col collapsed="false" customWidth="true" hidden="false" outlineLevel="0" max="47" min="47" style="1" width="2.71"/>
    <col collapsed="false" customWidth="true" hidden="false" outlineLevel="0" max="48" min="48" style="1" width="3.72"/>
    <col collapsed="false" customWidth="true" hidden="false" outlineLevel="0" max="50" min="49" style="1" width="2.14"/>
    <col collapsed="false" customWidth="true" hidden="false" outlineLevel="0" max="51" min="51" style="1" width="3.15"/>
    <col collapsed="false" customWidth="true" hidden="false" outlineLevel="0" max="52" min="52" style="1" width="2.14"/>
    <col collapsed="false" customWidth="true" hidden="false" outlineLevel="0" max="53" min="53" style="1" width="3.15"/>
    <col collapsed="false" customWidth="true" hidden="false" outlineLevel="0" max="54" min="54" style="1" width="2"/>
    <col collapsed="false" customWidth="true" hidden="false" outlineLevel="0" max="55" min="55" style="1" width="3"/>
    <col collapsed="false" customWidth="true" hidden="false" outlineLevel="0" max="56" min="56" style="1" width="2"/>
    <col collapsed="false" customWidth="true" hidden="false" outlineLevel="0" max="59" min="57" style="1" width="3.15"/>
    <col collapsed="false" customWidth="true" hidden="false" outlineLevel="0" max="60" min="60" style="1" width="2.71"/>
    <col collapsed="false" customWidth="true" hidden="false" outlineLevel="0" max="61" min="61" style="1" width="6.71"/>
    <col collapsed="false" customWidth="false" hidden="false" outlineLevel="0" max="16384" min="62" style="1" width="14.4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customFormat="false" ht="15" hidden="false" customHeight="false" outlineLevel="0" collapsed="false">
      <c r="A4" s="3" t="s">
        <v>1</v>
      </c>
      <c r="B4" s="4" t="s">
        <v>2</v>
      </c>
      <c r="C4" s="5" t="s">
        <v>3</v>
      </c>
      <c r="D4" s="5"/>
      <c r="E4" s="5"/>
      <c r="F4" s="5"/>
      <c r="G4" s="5"/>
      <c r="H4" s="5"/>
      <c r="I4" s="5"/>
      <c r="J4" s="6" t="s">
        <v>4</v>
      </c>
      <c r="K4" s="6"/>
      <c r="L4" s="6"/>
      <c r="M4" s="6"/>
      <c r="N4" s="6"/>
      <c r="O4" s="6"/>
      <c r="P4" s="6"/>
      <c r="Q4" s="6" t="s">
        <v>5</v>
      </c>
      <c r="R4" s="6"/>
      <c r="S4" s="6"/>
      <c r="T4" s="6"/>
      <c r="U4" s="6"/>
      <c r="V4" s="6"/>
      <c r="W4" s="6"/>
      <c r="X4" s="6" t="s">
        <v>6</v>
      </c>
      <c r="Y4" s="6"/>
      <c r="Z4" s="6"/>
      <c r="AA4" s="6"/>
      <c r="AB4" s="6"/>
      <c r="AC4" s="6"/>
      <c r="AD4" s="6"/>
      <c r="AE4" s="6" t="s">
        <v>7</v>
      </c>
      <c r="AF4" s="6"/>
      <c r="AG4" s="6"/>
      <c r="AH4" s="6"/>
      <c r="AI4" s="6"/>
      <c r="AJ4" s="6"/>
      <c r="AK4" s="6"/>
      <c r="AL4" s="5" t="s">
        <v>8</v>
      </c>
      <c r="AM4" s="5"/>
      <c r="AN4" s="5"/>
      <c r="AO4" s="5"/>
      <c r="AP4" s="5"/>
      <c r="AQ4" s="5"/>
      <c r="AR4" s="5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customFormat="false" ht="15" hidden="false" customHeight="false" outlineLevel="0" collapsed="false">
      <c r="A5" s="3"/>
      <c r="B5" s="4"/>
      <c r="C5" s="8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10" t="s">
        <v>15</v>
      </c>
      <c r="J5" s="8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10" t="s">
        <v>15</v>
      </c>
      <c r="Q5" s="8" t="s">
        <v>9</v>
      </c>
      <c r="R5" s="9" t="s">
        <v>10</v>
      </c>
      <c r="S5" s="9" t="s">
        <v>11</v>
      </c>
      <c r="T5" s="9" t="s">
        <v>12</v>
      </c>
      <c r="U5" s="9" t="s">
        <v>13</v>
      </c>
      <c r="V5" s="9" t="s">
        <v>14</v>
      </c>
      <c r="W5" s="10" t="s">
        <v>15</v>
      </c>
      <c r="X5" s="8" t="s">
        <v>9</v>
      </c>
      <c r="Y5" s="9" t="s">
        <v>10</v>
      </c>
      <c r="Z5" s="9" t="s">
        <v>11</v>
      </c>
      <c r="AA5" s="9" t="s">
        <v>12</v>
      </c>
      <c r="AB5" s="9" t="s">
        <v>13</v>
      </c>
      <c r="AC5" s="9" t="s">
        <v>14</v>
      </c>
      <c r="AD5" s="10" t="s">
        <v>15</v>
      </c>
      <c r="AE5" s="8" t="s">
        <v>9</v>
      </c>
      <c r="AF5" s="9" t="s">
        <v>10</v>
      </c>
      <c r="AG5" s="9" t="s">
        <v>11</v>
      </c>
      <c r="AH5" s="9" t="s">
        <v>12</v>
      </c>
      <c r="AI5" s="9" t="s">
        <v>13</v>
      </c>
      <c r="AJ5" s="9" t="s">
        <v>14</v>
      </c>
      <c r="AK5" s="10" t="s">
        <v>15</v>
      </c>
      <c r="AL5" s="8" t="s">
        <v>9</v>
      </c>
      <c r="AM5" s="9" t="s">
        <v>10</v>
      </c>
      <c r="AN5" s="9" t="s">
        <v>11</v>
      </c>
      <c r="AO5" s="9" t="s">
        <v>12</v>
      </c>
      <c r="AP5" s="9" t="s">
        <v>13</v>
      </c>
      <c r="AQ5" s="9" t="s">
        <v>14</v>
      </c>
      <c r="AR5" s="10" t="s">
        <v>15</v>
      </c>
      <c r="AS5" s="11"/>
      <c r="AT5" s="12" t="s">
        <v>16</v>
      </c>
      <c r="AU5" s="13" t="s">
        <v>17</v>
      </c>
      <c r="AV5" s="13" t="s">
        <v>18</v>
      </c>
      <c r="AW5" s="14"/>
      <c r="AX5" s="15" t="s">
        <v>19</v>
      </c>
      <c r="AY5" s="15" t="s">
        <v>20</v>
      </c>
      <c r="AZ5" s="16" t="s">
        <v>21</v>
      </c>
      <c r="BA5" s="16" t="s">
        <v>22</v>
      </c>
      <c r="BB5" s="17" t="s">
        <v>23</v>
      </c>
      <c r="BC5" s="17" t="s">
        <v>24</v>
      </c>
      <c r="BD5" s="18" t="s">
        <v>25</v>
      </c>
      <c r="BE5" s="19" t="s">
        <v>26</v>
      </c>
      <c r="BF5" s="20" t="s">
        <v>27</v>
      </c>
      <c r="BG5" s="16" t="s">
        <v>28</v>
      </c>
      <c r="BH5" s="14" t="s">
        <v>29</v>
      </c>
      <c r="BI5" s="21" t="s">
        <v>30</v>
      </c>
    </row>
    <row r="6" customFormat="false" ht="15.75" hidden="false" customHeight="true" outlineLevel="0" collapsed="false">
      <c r="A6" s="22" t="s">
        <v>31</v>
      </c>
      <c r="B6" s="23" t="s">
        <v>32</v>
      </c>
      <c r="C6" s="24" t="s">
        <v>28</v>
      </c>
      <c r="D6" s="25" t="s">
        <v>28</v>
      </c>
      <c r="E6" s="26" t="s">
        <v>23</v>
      </c>
      <c r="F6" s="27" t="s">
        <v>25</v>
      </c>
      <c r="G6" s="28" t="s">
        <v>17</v>
      </c>
      <c r="H6" s="29" t="s">
        <v>20</v>
      </c>
      <c r="I6" s="30" t="s">
        <v>22</v>
      </c>
      <c r="J6" s="31" t="s">
        <v>17</v>
      </c>
      <c r="K6" s="26" t="s">
        <v>23</v>
      </c>
      <c r="L6" s="25" t="s">
        <v>21</v>
      </c>
      <c r="M6" s="32" t="s">
        <v>19</v>
      </c>
      <c r="N6" s="33" t="s">
        <v>18</v>
      </c>
      <c r="P6" s="34"/>
      <c r="Q6" s="31" t="s">
        <v>17</v>
      </c>
      <c r="R6" s="26" t="s">
        <v>23</v>
      </c>
      <c r="S6" s="25" t="s">
        <v>21</v>
      </c>
      <c r="T6" s="32" t="s">
        <v>19</v>
      </c>
      <c r="U6" s="35" t="s">
        <v>16</v>
      </c>
      <c r="V6" s="18" t="s">
        <v>25</v>
      </c>
      <c r="W6" s="34"/>
      <c r="X6" s="36" t="s">
        <v>27</v>
      </c>
      <c r="Y6" s="32" t="s">
        <v>27</v>
      </c>
      <c r="Z6" s="25" t="s">
        <v>22</v>
      </c>
      <c r="AA6" s="27" t="s">
        <v>25</v>
      </c>
      <c r="AB6" s="28" t="s">
        <v>18</v>
      </c>
      <c r="AC6" s="17" t="s">
        <v>23</v>
      </c>
      <c r="AD6" s="37" t="s">
        <v>20</v>
      </c>
      <c r="AE6" s="31" t="s">
        <v>17</v>
      </c>
      <c r="AF6" s="25" t="s">
        <v>21</v>
      </c>
      <c r="AG6" s="38" t="s">
        <v>26</v>
      </c>
      <c r="AH6" s="38" t="s">
        <v>26</v>
      </c>
      <c r="AI6" s="29" t="s">
        <v>19</v>
      </c>
      <c r="AK6" s="34"/>
      <c r="AL6" s="39" t="s">
        <v>16</v>
      </c>
      <c r="AM6" s="32" t="s">
        <v>19</v>
      </c>
      <c r="AN6" s="40" t="s">
        <v>17</v>
      </c>
      <c r="AO6" s="41" t="s">
        <v>24</v>
      </c>
      <c r="AP6" s="16" t="s">
        <v>21</v>
      </c>
      <c r="AR6" s="34"/>
      <c r="AS6" s="42"/>
      <c r="AT6" s="43" t="n">
        <f aca="false">COUNTIF($C6:$AR6,AT$5)</f>
        <v>2</v>
      </c>
      <c r="AU6" s="44" t="n">
        <f aca="false">COUNTIF($C6:$AR6,AU$5)</f>
        <v>5</v>
      </c>
      <c r="AV6" s="44" t="n">
        <f aca="false">COUNTIF($C6:$AR6,AV$5)</f>
        <v>2</v>
      </c>
      <c r="AW6" s="45" t="n">
        <f aca="false">COUNTIF($C6:$AR6,AW$5)</f>
        <v>0</v>
      </c>
      <c r="AX6" s="46" t="n">
        <f aca="false">COUNTIF($C6:$AR6,AX$5)</f>
        <v>4</v>
      </c>
      <c r="AY6" s="46" t="n">
        <f aca="false">COUNTIF($C6:$AR6,AY$5)</f>
        <v>2</v>
      </c>
      <c r="AZ6" s="47" t="n">
        <f aca="false">COUNTIF($C6:$AR6,AZ$5)</f>
        <v>4</v>
      </c>
      <c r="BA6" s="47" t="n">
        <f aca="false">COUNTIF($C6:$AR6,A$5)</f>
        <v>0</v>
      </c>
      <c r="BB6" s="48" t="n">
        <f aca="false">COUNTIF($C6:$AR6,BB$5)</f>
        <v>4</v>
      </c>
      <c r="BC6" s="48" t="n">
        <f aca="false">COUNTIF($C6:$AR6,BC$5)</f>
        <v>1</v>
      </c>
      <c r="BD6" s="49" t="n">
        <f aca="false">COUNTIF($C6:$AR6,BD$5)</f>
        <v>3</v>
      </c>
      <c r="BE6" s="43" t="n">
        <f aca="false">COUNTIF($C6:$AR6,BE$5)/2</f>
        <v>1</v>
      </c>
      <c r="BF6" s="50" t="n">
        <f aca="false">COUNTIF($C6:$AR6,BF$5)/2</f>
        <v>1</v>
      </c>
      <c r="BG6" s="47" t="n">
        <f aca="false">COUNTIF($C6:$AR6,BG$5)/2</f>
        <v>1</v>
      </c>
      <c r="BH6" s="45" t="n">
        <f aca="false">COUNTIF($C6:$AR6,BH$5)/2</f>
        <v>0</v>
      </c>
      <c r="BI6" s="51" t="n">
        <f aca="false">SUM(AT6:BH6)</f>
        <v>30</v>
      </c>
    </row>
    <row r="7" customFormat="false" ht="15.75" hidden="false" customHeight="true" outlineLevel="0" collapsed="false">
      <c r="A7" s="22"/>
      <c r="B7" s="23" t="s">
        <v>33</v>
      </c>
      <c r="C7" s="52" t="s">
        <v>27</v>
      </c>
      <c r="D7" s="53" t="s">
        <v>27</v>
      </c>
      <c r="E7" s="54" t="s">
        <v>22</v>
      </c>
      <c r="F7" s="55" t="s">
        <v>20</v>
      </c>
      <c r="G7" s="56" t="s">
        <v>25</v>
      </c>
      <c r="H7" s="57" t="s">
        <v>17</v>
      </c>
      <c r="I7" s="58" t="s">
        <v>23</v>
      </c>
      <c r="J7" s="59" t="s">
        <v>16</v>
      </c>
      <c r="K7" s="60" t="s">
        <v>17</v>
      </c>
      <c r="L7" s="61" t="s">
        <v>23</v>
      </c>
      <c r="M7" s="54" t="s">
        <v>21</v>
      </c>
      <c r="N7" s="62" t="s">
        <v>19</v>
      </c>
      <c r="P7" s="63"/>
      <c r="Q7" s="64" t="s">
        <v>25</v>
      </c>
      <c r="R7" s="60" t="s">
        <v>17</v>
      </c>
      <c r="S7" s="61" t="s">
        <v>23</v>
      </c>
      <c r="T7" s="54" t="s">
        <v>21</v>
      </c>
      <c r="U7" s="53" t="s">
        <v>19</v>
      </c>
      <c r="V7" s="57" t="s">
        <v>18</v>
      </c>
      <c r="W7" s="63"/>
      <c r="X7" s="65" t="s">
        <v>28</v>
      </c>
      <c r="Y7" s="54" t="s">
        <v>28</v>
      </c>
      <c r="Z7" s="53" t="s">
        <v>20</v>
      </c>
      <c r="AA7" s="54" t="s">
        <v>22</v>
      </c>
      <c r="AB7" s="56" t="s">
        <v>25</v>
      </c>
      <c r="AC7" s="57" t="s">
        <v>18</v>
      </c>
      <c r="AD7" s="58" t="s">
        <v>23</v>
      </c>
      <c r="AE7" s="52" t="s">
        <v>19</v>
      </c>
      <c r="AF7" s="60" t="s">
        <v>17</v>
      </c>
      <c r="AG7" s="54" t="s">
        <v>21</v>
      </c>
      <c r="AH7" s="66" t="s">
        <v>34</v>
      </c>
      <c r="AI7" s="67" t="s">
        <v>26</v>
      </c>
      <c r="AJ7" s="68" t="s">
        <v>26</v>
      </c>
      <c r="AK7" s="63"/>
      <c r="AL7" s="65" t="s">
        <v>21</v>
      </c>
      <c r="AM7" s="67" t="s">
        <v>16</v>
      </c>
      <c r="AN7" s="53" t="s">
        <v>19</v>
      </c>
      <c r="AO7" s="60" t="s">
        <v>17</v>
      </c>
      <c r="AP7" s="69" t="s">
        <v>24</v>
      </c>
      <c r="AR7" s="63"/>
      <c r="AS7" s="42"/>
      <c r="AT7" s="43" t="n">
        <f aca="false">COUNTIF($C7:$AR7,AT$5)</f>
        <v>2</v>
      </c>
      <c r="AU7" s="44" t="n">
        <f aca="false">COUNTIF($C7:$AR7,AU$5)</f>
        <v>5</v>
      </c>
      <c r="AV7" s="44" t="n">
        <f aca="false">COUNTIF($C7:$AR7,AV$5)</f>
        <v>2</v>
      </c>
      <c r="AW7" s="45" t="n">
        <f aca="false">COUNTIF($C7:$AR7,AW$5)</f>
        <v>0</v>
      </c>
      <c r="AX7" s="46" t="n">
        <f aca="false">COUNTIF($C7:$AR7,AX$5)</f>
        <v>4</v>
      </c>
      <c r="AY7" s="46" t="n">
        <f aca="false">COUNTIF($C7:$AR7,AY$5)</f>
        <v>2</v>
      </c>
      <c r="AZ7" s="47" t="n">
        <f aca="false">COUNTIF($C7:$AR7,AZ$5)</f>
        <v>4</v>
      </c>
      <c r="BA7" s="47" t="n">
        <f aca="false">COUNTIF($C7:$AR7,BA$5)</f>
        <v>2</v>
      </c>
      <c r="BB7" s="48" t="n">
        <f aca="false">COUNTIF($C7:$AR7,BB$5)</f>
        <v>4</v>
      </c>
      <c r="BC7" s="48" t="n">
        <f aca="false">COUNTIF($C7:$AR7,BC$5)</f>
        <v>1</v>
      </c>
      <c r="BD7" s="49" t="n">
        <f aca="false">COUNTIF($C7:$AR7,BD$5)</f>
        <v>3</v>
      </c>
      <c r="BE7" s="43" t="n">
        <f aca="false">COUNTIF($C7:$AR7,BE$5)/2</f>
        <v>1</v>
      </c>
      <c r="BF7" s="50" t="n">
        <f aca="false">COUNTIF($C7:$AR7,BF$5)/2</f>
        <v>1</v>
      </c>
      <c r="BG7" s="47" t="n">
        <f aca="false">COUNTIF($C7:$AR7,BG$5)/2</f>
        <v>1</v>
      </c>
      <c r="BH7" s="45" t="n">
        <f aca="false">COUNTIF($C7:$AR7,BH$5)/2</f>
        <v>0</v>
      </c>
      <c r="BI7" s="51" t="n">
        <f aca="false">SUM(AT7:BH7)</f>
        <v>32</v>
      </c>
    </row>
    <row r="8" customFormat="false" ht="15.75" hidden="false" customHeight="true" outlineLevel="0" collapsed="false">
      <c r="A8" s="22"/>
      <c r="B8" s="23" t="s">
        <v>35</v>
      </c>
      <c r="C8" s="70" t="s">
        <v>23</v>
      </c>
      <c r="D8" s="53" t="s">
        <v>20</v>
      </c>
      <c r="E8" s="54" t="s">
        <v>28</v>
      </c>
      <c r="F8" s="54" t="s">
        <v>28</v>
      </c>
      <c r="G8" s="54" t="s">
        <v>22</v>
      </c>
      <c r="H8" s="56" t="s">
        <v>25</v>
      </c>
      <c r="I8" s="71" t="s">
        <v>17</v>
      </c>
      <c r="J8" s="52" t="s">
        <v>19</v>
      </c>
      <c r="K8" s="67" t="s">
        <v>16</v>
      </c>
      <c r="L8" s="60" t="s">
        <v>17</v>
      </c>
      <c r="M8" s="61" t="s">
        <v>23</v>
      </c>
      <c r="N8" s="54" t="s">
        <v>21</v>
      </c>
      <c r="O8" s="66" t="s">
        <v>34</v>
      </c>
      <c r="P8" s="72"/>
      <c r="Q8" s="52" t="s">
        <v>19</v>
      </c>
      <c r="R8" s="56" t="s">
        <v>25</v>
      </c>
      <c r="S8" s="60" t="s">
        <v>17</v>
      </c>
      <c r="T8" s="61" t="s">
        <v>24</v>
      </c>
      <c r="U8" s="54" t="s">
        <v>21</v>
      </c>
      <c r="V8" s="66" t="s">
        <v>34</v>
      </c>
      <c r="W8" s="72"/>
      <c r="X8" s="73" t="s">
        <v>23</v>
      </c>
      <c r="Y8" s="53" t="s">
        <v>20</v>
      </c>
      <c r="Z8" s="53" t="s">
        <v>27</v>
      </c>
      <c r="AA8" s="53" t="s">
        <v>27</v>
      </c>
      <c r="AB8" s="54" t="s">
        <v>22</v>
      </c>
      <c r="AC8" s="67" t="s">
        <v>16</v>
      </c>
      <c r="AD8" s="71" t="s">
        <v>18</v>
      </c>
      <c r="AE8" s="56" t="s">
        <v>25</v>
      </c>
      <c r="AF8" s="53" t="s">
        <v>19</v>
      </c>
      <c r="AG8" s="60" t="s">
        <v>17</v>
      </c>
      <c r="AH8" s="54" t="s">
        <v>21</v>
      </c>
      <c r="AJ8" s="60" t="s">
        <v>18</v>
      </c>
      <c r="AK8" s="72"/>
      <c r="AL8" s="70" t="s">
        <v>23</v>
      </c>
      <c r="AM8" s="54" t="s">
        <v>21</v>
      </c>
      <c r="AN8" s="67" t="s">
        <v>26</v>
      </c>
      <c r="AO8" s="67" t="s">
        <v>26</v>
      </c>
      <c r="AP8" s="53" t="s">
        <v>19</v>
      </c>
      <c r="AQ8" s="60" t="s">
        <v>17</v>
      </c>
      <c r="AR8" s="63"/>
      <c r="AS8" s="42"/>
      <c r="AT8" s="43" t="n">
        <f aca="false">COUNTIF($C8:$AR8,AT$5)</f>
        <v>2</v>
      </c>
      <c r="AU8" s="44" t="n">
        <f aca="false">COUNTIF($C8:$AR8,AU$5)</f>
        <v>5</v>
      </c>
      <c r="AV8" s="44" t="n">
        <f aca="false">COUNTIF($C8:$AR8,AV$5)</f>
        <v>2</v>
      </c>
      <c r="AW8" s="45" t="n">
        <f aca="false">COUNTIF($C8:$AR8,AW$5)</f>
        <v>0</v>
      </c>
      <c r="AX8" s="46" t="n">
        <f aca="false">COUNTIF($C8:$AR8,AX$5)</f>
        <v>4</v>
      </c>
      <c r="AY8" s="46" t="n">
        <f aca="false">COUNTIF($C8:$AR8,AY$5)</f>
        <v>2</v>
      </c>
      <c r="AZ8" s="47" t="n">
        <f aca="false">COUNTIF($C8:$AR8,AZ$5)</f>
        <v>4</v>
      </c>
      <c r="BA8" s="47" t="n">
        <f aca="false">COUNTIF($C8:$AR8,BA$5)</f>
        <v>2</v>
      </c>
      <c r="BB8" s="48" t="n">
        <f aca="false">COUNTIF($C8:$AR8,BB$5)</f>
        <v>4</v>
      </c>
      <c r="BC8" s="48" t="n">
        <f aca="false">COUNTIF($C8:$AR8,BC$5)</f>
        <v>1</v>
      </c>
      <c r="BD8" s="49" t="n">
        <f aca="false">COUNTIF($C8:$AR8,BD$5)</f>
        <v>3</v>
      </c>
      <c r="BE8" s="43" t="n">
        <f aca="false">COUNTIF($C8:$AR8,BE$5)/2</f>
        <v>1</v>
      </c>
      <c r="BF8" s="50" t="n">
        <f aca="false">COUNTIF($C8:$AR8,BF$5)/2</f>
        <v>1</v>
      </c>
      <c r="BG8" s="47" t="n">
        <f aca="false">COUNTIF($C8:$AR8,BG$5)/2</f>
        <v>1</v>
      </c>
      <c r="BH8" s="45" t="n">
        <f aca="false">COUNTIF($C8:$AR8,BH$5)/2</f>
        <v>0</v>
      </c>
      <c r="BI8" s="51" t="n">
        <f aca="false">SUM(AT8:BH8)</f>
        <v>32</v>
      </c>
    </row>
    <row r="9" customFormat="false" ht="15.75" hidden="false" customHeight="true" outlineLevel="0" collapsed="false">
      <c r="A9" s="22"/>
      <c r="B9" s="23" t="s">
        <v>36</v>
      </c>
      <c r="C9" s="74" t="s">
        <v>17</v>
      </c>
      <c r="D9" s="61" t="s">
        <v>23</v>
      </c>
      <c r="E9" s="53" t="s">
        <v>27</v>
      </c>
      <c r="F9" s="53" t="s">
        <v>27</v>
      </c>
      <c r="G9" s="53" t="s">
        <v>20</v>
      </c>
      <c r="H9" s="54" t="s">
        <v>22</v>
      </c>
      <c r="I9" s="75" t="s">
        <v>25</v>
      </c>
      <c r="J9" s="74" t="s">
        <v>17</v>
      </c>
      <c r="K9" s="53" t="s">
        <v>19</v>
      </c>
      <c r="L9" s="67" t="s">
        <v>16</v>
      </c>
      <c r="M9" s="60" t="s">
        <v>18</v>
      </c>
      <c r="N9" s="61" t="s">
        <v>23</v>
      </c>
      <c r="O9" s="54" t="s">
        <v>21</v>
      </c>
      <c r="P9" s="63"/>
      <c r="Q9" s="54" t="s">
        <v>21</v>
      </c>
      <c r="R9" s="53" t="s">
        <v>19</v>
      </c>
      <c r="S9" s="56" t="s">
        <v>25</v>
      </c>
      <c r="T9" s="60" t="s">
        <v>18</v>
      </c>
      <c r="U9" s="61" t="s">
        <v>24</v>
      </c>
      <c r="W9" s="63"/>
      <c r="X9" s="74" t="s">
        <v>17</v>
      </c>
      <c r="Y9" s="61" t="s">
        <v>23</v>
      </c>
      <c r="Z9" s="54" t="s">
        <v>28</v>
      </c>
      <c r="AA9" s="54" t="s">
        <v>28</v>
      </c>
      <c r="AB9" s="53" t="s">
        <v>20</v>
      </c>
      <c r="AC9" s="54" t="s">
        <v>22</v>
      </c>
      <c r="AD9" s="75" t="s">
        <v>25</v>
      </c>
      <c r="AE9" s="59" t="s">
        <v>26</v>
      </c>
      <c r="AF9" s="67" t="s">
        <v>26</v>
      </c>
      <c r="AG9" s="53" t="s">
        <v>19</v>
      </c>
      <c r="AH9" s="60" t="s">
        <v>17</v>
      </c>
      <c r="AI9" s="54" t="s">
        <v>21</v>
      </c>
      <c r="AJ9" s="66" t="s">
        <v>34</v>
      </c>
      <c r="AK9" s="63"/>
      <c r="AL9" s="74" t="s">
        <v>17</v>
      </c>
      <c r="AM9" s="61" t="s">
        <v>23</v>
      </c>
      <c r="AN9" s="54" t="s">
        <v>21</v>
      </c>
      <c r="AO9" s="67" t="s">
        <v>16</v>
      </c>
      <c r="AP9" s="66" t="s">
        <v>34</v>
      </c>
      <c r="AQ9" s="53" t="s">
        <v>19</v>
      </c>
      <c r="AR9" s="63"/>
      <c r="AS9" s="42"/>
      <c r="AT9" s="43" t="n">
        <f aca="false">COUNTIF($C9:$AR9,AT$5)</f>
        <v>2</v>
      </c>
      <c r="AU9" s="44" t="n">
        <f aca="false">COUNTIF($C9:$AR9,AU$5)</f>
        <v>5</v>
      </c>
      <c r="AV9" s="44" t="n">
        <f aca="false">COUNTIF($C9:$AR9,AV$5)</f>
        <v>2</v>
      </c>
      <c r="AW9" s="45" t="n">
        <f aca="false">COUNTIF($C9:$AR9,AW$5)</f>
        <v>0</v>
      </c>
      <c r="AX9" s="46" t="n">
        <f aca="false">COUNTIF($C9:$AR9,AX$5)</f>
        <v>4</v>
      </c>
      <c r="AY9" s="46" t="n">
        <f aca="false">COUNTIF($C9:$AR9,AY$5)</f>
        <v>2</v>
      </c>
      <c r="AZ9" s="47" t="n">
        <f aca="false">COUNTIF($C9:$AR9,AZ$5)</f>
        <v>4</v>
      </c>
      <c r="BA9" s="47" t="n">
        <f aca="false">COUNTIF($C9:$AR9,BA$5)</f>
        <v>2</v>
      </c>
      <c r="BB9" s="48" t="n">
        <f aca="false">COUNTIF($C9:$AR9,BB$5)</f>
        <v>4</v>
      </c>
      <c r="BC9" s="48" t="n">
        <f aca="false">COUNTIF($C9:$AR9,BC$5)</f>
        <v>1</v>
      </c>
      <c r="BD9" s="49" t="n">
        <f aca="false">COUNTIF($C9:$AR9,BD$5)</f>
        <v>3</v>
      </c>
      <c r="BE9" s="43" t="n">
        <f aca="false">COUNTIF($C9:$AR9,BE$5)/2</f>
        <v>1</v>
      </c>
      <c r="BF9" s="50" t="n">
        <f aca="false">COUNTIF($C9:$AR9,BF$5)/2</f>
        <v>1</v>
      </c>
      <c r="BG9" s="47" t="n">
        <f aca="false">COUNTIF($C9:$AR9,BG$5)/2</f>
        <v>1</v>
      </c>
      <c r="BH9" s="45" t="n">
        <f aca="false">COUNTIF($C9:$AR9,BH$5)/2</f>
        <v>0</v>
      </c>
      <c r="BI9" s="51" t="n">
        <f aca="false">SUM(AT9:BH9)</f>
        <v>32</v>
      </c>
    </row>
    <row r="10" customFormat="false" ht="15.75" hidden="false" customHeight="true" outlineLevel="0" collapsed="false">
      <c r="A10" s="22"/>
      <c r="B10" s="23" t="s">
        <v>37</v>
      </c>
      <c r="C10" s="64" t="s">
        <v>25</v>
      </c>
      <c r="D10" s="60" t="s">
        <v>17</v>
      </c>
      <c r="E10" s="61" t="s">
        <v>23</v>
      </c>
      <c r="F10" s="53" t="s">
        <v>20</v>
      </c>
      <c r="G10" s="54" t="s">
        <v>28</v>
      </c>
      <c r="H10" s="54" t="s">
        <v>28</v>
      </c>
      <c r="I10" s="76" t="s">
        <v>22</v>
      </c>
      <c r="J10" s="65" t="s">
        <v>21</v>
      </c>
      <c r="K10" s="61" t="s">
        <v>23</v>
      </c>
      <c r="L10" s="53" t="s">
        <v>19</v>
      </c>
      <c r="M10" s="77" t="s">
        <v>16</v>
      </c>
      <c r="N10" s="60" t="s">
        <v>17</v>
      </c>
      <c r="P10" s="63"/>
      <c r="Q10" s="74" t="s">
        <v>17</v>
      </c>
      <c r="R10" s="54" t="s">
        <v>21</v>
      </c>
      <c r="S10" s="53" t="s">
        <v>19</v>
      </c>
      <c r="T10" s="56" t="s">
        <v>25</v>
      </c>
      <c r="U10" s="60" t="s">
        <v>18</v>
      </c>
      <c r="V10" s="61" t="s">
        <v>24</v>
      </c>
      <c r="W10" s="63"/>
      <c r="X10" s="53" t="s">
        <v>20</v>
      </c>
      <c r="Y10" s="60" t="s">
        <v>17</v>
      </c>
      <c r="Z10" s="61" t="s">
        <v>23</v>
      </c>
      <c r="AB10" s="53" t="s">
        <v>27</v>
      </c>
      <c r="AC10" s="53" t="s">
        <v>27</v>
      </c>
      <c r="AD10" s="76" t="s">
        <v>22</v>
      </c>
      <c r="AE10" s="65" t="s">
        <v>21</v>
      </c>
      <c r="AF10" s="56" t="s">
        <v>25</v>
      </c>
      <c r="AG10" s="66" t="s">
        <v>34</v>
      </c>
      <c r="AH10" s="53" t="s">
        <v>19</v>
      </c>
      <c r="AI10" s="60" t="s">
        <v>18</v>
      </c>
      <c r="AJ10" s="67" t="s">
        <v>16</v>
      </c>
      <c r="AK10" s="63"/>
      <c r="AL10" s="52" t="s">
        <v>19</v>
      </c>
      <c r="AM10" s="60" t="s">
        <v>17</v>
      </c>
      <c r="AN10" s="61" t="s">
        <v>23</v>
      </c>
      <c r="AO10" s="54" t="s">
        <v>21</v>
      </c>
      <c r="AP10" s="67" t="s">
        <v>26</v>
      </c>
      <c r="AQ10" s="67" t="s">
        <v>26</v>
      </c>
      <c r="AR10" s="63"/>
      <c r="AS10" s="42"/>
      <c r="AT10" s="43" t="n">
        <f aca="false">COUNTIF($C10:$AR10,AT$5)</f>
        <v>2</v>
      </c>
      <c r="AU10" s="44" t="n">
        <f aca="false">COUNTIF($C10:$AR10,AU$5)</f>
        <v>5</v>
      </c>
      <c r="AV10" s="44" t="n">
        <f aca="false">COUNTIF($C10:$AR10,AV$5)</f>
        <v>2</v>
      </c>
      <c r="AW10" s="45" t="n">
        <f aca="false">COUNTIF($C10:$AR10,AW$5)</f>
        <v>0</v>
      </c>
      <c r="AX10" s="46" t="n">
        <f aca="false">COUNTIF($C10:$AR10,AX$5)</f>
        <v>4</v>
      </c>
      <c r="AY10" s="46" t="n">
        <f aca="false">COUNTIF($C10:$AR10,AY$5)</f>
        <v>2</v>
      </c>
      <c r="AZ10" s="47" t="n">
        <f aca="false">COUNTIF($C10:$AR10,AZ$5)</f>
        <v>4</v>
      </c>
      <c r="BA10" s="47" t="n">
        <f aca="false">COUNTIF($C10:$AR10,BA$5)</f>
        <v>2</v>
      </c>
      <c r="BB10" s="48" t="n">
        <f aca="false">COUNTIF($C10:$AR10,BB$5)</f>
        <v>4</v>
      </c>
      <c r="BC10" s="48" t="n">
        <f aca="false">COUNTIF($C10:$AR10,BC$5)</f>
        <v>1</v>
      </c>
      <c r="BD10" s="49" t="n">
        <f aca="false">COUNTIF($C10:$AR10,BD$5)</f>
        <v>3</v>
      </c>
      <c r="BE10" s="43" t="n">
        <f aca="false">COUNTIF($C10:$AR10,BE$5)/2</f>
        <v>1</v>
      </c>
      <c r="BF10" s="50" t="n">
        <f aca="false">COUNTIF($C10:$AR10,BF$5)/2</f>
        <v>1</v>
      </c>
      <c r="BG10" s="47" t="n">
        <f aca="false">COUNTIF($C10:$AR10,BG$5)/2</f>
        <v>1</v>
      </c>
      <c r="BH10" s="45" t="n">
        <f aca="false">COUNTIF($C10:$AR10,BH$5)/2</f>
        <v>0</v>
      </c>
      <c r="BI10" s="51" t="n">
        <f aca="false">SUM(AT10:BH10)</f>
        <v>32</v>
      </c>
    </row>
    <row r="11" customFormat="false" ht="15.75" hidden="false" customHeight="true" outlineLevel="0" collapsed="false">
      <c r="A11" s="22"/>
      <c r="B11" s="23" t="s">
        <v>38</v>
      </c>
      <c r="C11" s="65" t="s">
        <v>22</v>
      </c>
      <c r="D11" s="56" t="s">
        <v>25</v>
      </c>
      <c r="E11" s="60" t="s">
        <v>17</v>
      </c>
      <c r="F11" s="61" t="s">
        <v>23</v>
      </c>
      <c r="G11" s="53" t="s">
        <v>27</v>
      </c>
      <c r="H11" s="53" t="s">
        <v>27</v>
      </c>
      <c r="I11" s="78" t="s">
        <v>20</v>
      </c>
      <c r="J11" s="70" t="s">
        <v>23</v>
      </c>
      <c r="K11" s="54" t="s">
        <v>21</v>
      </c>
      <c r="L11" s="60" t="s">
        <v>17</v>
      </c>
      <c r="M11" s="53" t="s">
        <v>19</v>
      </c>
      <c r="N11" s="67" t="s">
        <v>16</v>
      </c>
      <c r="P11" s="63"/>
      <c r="Q11" s="70" t="s">
        <v>23</v>
      </c>
      <c r="R11" s="60" t="s">
        <v>18</v>
      </c>
      <c r="S11" s="54" t="s">
        <v>21</v>
      </c>
      <c r="T11" s="53" t="s">
        <v>19</v>
      </c>
      <c r="U11" s="56" t="s">
        <v>25</v>
      </c>
      <c r="W11" s="63"/>
      <c r="X11" s="65" t="s">
        <v>22</v>
      </c>
      <c r="Y11" s="56" t="s">
        <v>25</v>
      </c>
      <c r="Z11" s="79" t="s">
        <v>17</v>
      </c>
      <c r="AA11" s="61" t="s">
        <v>23</v>
      </c>
      <c r="AB11" s="59" t="s">
        <v>16</v>
      </c>
      <c r="AD11" s="78" t="s">
        <v>20</v>
      </c>
      <c r="AE11" s="74" t="s">
        <v>17</v>
      </c>
      <c r="AF11" s="54" t="s">
        <v>21</v>
      </c>
      <c r="AG11" s="67" t="s">
        <v>26</v>
      </c>
      <c r="AH11" s="67" t="s">
        <v>26</v>
      </c>
      <c r="AI11" s="53" t="s">
        <v>19</v>
      </c>
      <c r="AJ11" s="60" t="s">
        <v>18</v>
      </c>
      <c r="AK11" s="63"/>
      <c r="AL11" s="54" t="s">
        <v>28</v>
      </c>
      <c r="AM11" s="54" t="s">
        <v>28</v>
      </c>
      <c r="AN11" s="79" t="s">
        <v>17</v>
      </c>
      <c r="AO11" s="61" t="s">
        <v>24</v>
      </c>
      <c r="AP11" s="54" t="s">
        <v>21</v>
      </c>
      <c r="AQ11" s="53" t="s">
        <v>19</v>
      </c>
      <c r="AS11" s="42"/>
      <c r="AT11" s="43" t="n">
        <f aca="false">COUNTIF($C11:$AQ11,AT$5)</f>
        <v>2</v>
      </c>
      <c r="AU11" s="44" t="n">
        <f aca="false">COUNTIF($C11:$AQ11,AU$5)</f>
        <v>5</v>
      </c>
      <c r="AV11" s="44" t="n">
        <f aca="false">COUNTIF($C11:$AQ11,AV$5)</f>
        <v>2</v>
      </c>
      <c r="AW11" s="45" t="n">
        <f aca="false">COUNTIF($C11:$AQ11,AW$5)</f>
        <v>0</v>
      </c>
      <c r="AX11" s="46" t="n">
        <f aca="false">COUNTIF($C11:$AQ11,AX$5)</f>
        <v>4</v>
      </c>
      <c r="AY11" s="46" t="n">
        <f aca="false">COUNTIF($C11:$AQ11,AY$5)</f>
        <v>2</v>
      </c>
      <c r="AZ11" s="47" t="n">
        <f aca="false">COUNTIF($C11:$AQ11,AZ$5)</f>
        <v>4</v>
      </c>
      <c r="BA11" s="47" t="n">
        <f aca="false">COUNTIF($C11:$AQ11,BA$5)</f>
        <v>2</v>
      </c>
      <c r="BB11" s="48" t="n">
        <f aca="false">COUNTIF($C11:$AQ11,BB$5)</f>
        <v>4</v>
      </c>
      <c r="BC11" s="48" t="n">
        <f aca="false">COUNTIF($C11:$AQ11,BC$5)</f>
        <v>1</v>
      </c>
      <c r="BD11" s="49" t="n">
        <f aca="false">COUNTIF($C11:$AQ11,BD$5)</f>
        <v>3</v>
      </c>
      <c r="BE11" s="43" t="n">
        <f aca="false">COUNTIF($C11:$AQ11,BE$5)/2</f>
        <v>1</v>
      </c>
      <c r="BF11" s="50" t="n">
        <f aca="false">COUNTIF($C11:$AQ11,BF$5)/2</f>
        <v>1</v>
      </c>
      <c r="BG11" s="47" t="n">
        <f aca="false">COUNTIF($C11:$AQ11,BG$5)/2</f>
        <v>1</v>
      </c>
      <c r="BH11" s="45" t="n">
        <f aca="false">COUNTIF($C11:$AQ11,BH$5)/2</f>
        <v>0</v>
      </c>
      <c r="BI11" s="51" t="n">
        <f aca="false">SUM(AT11:BH11)</f>
        <v>32</v>
      </c>
    </row>
    <row r="12" customFormat="false" ht="15.75" hidden="false" customHeight="true" outlineLevel="0" collapsed="false">
      <c r="A12" s="22"/>
      <c r="B12" s="23" t="s">
        <v>39</v>
      </c>
      <c r="C12" s="74" t="s">
        <v>17</v>
      </c>
      <c r="D12" s="61" t="s">
        <v>23</v>
      </c>
      <c r="E12" s="54" t="s">
        <v>21</v>
      </c>
      <c r="F12" s="53" t="s">
        <v>19</v>
      </c>
      <c r="G12" s="60" t="s">
        <v>18</v>
      </c>
      <c r="I12" s="63"/>
      <c r="J12" s="65" t="s">
        <v>28</v>
      </c>
      <c r="K12" s="54" t="s">
        <v>28</v>
      </c>
      <c r="L12" s="54" t="s">
        <v>22</v>
      </c>
      <c r="M12" s="61" t="s">
        <v>23</v>
      </c>
      <c r="N12" s="60" t="s">
        <v>17</v>
      </c>
      <c r="O12" s="61" t="s">
        <v>24</v>
      </c>
      <c r="P12" s="78" t="s">
        <v>20</v>
      </c>
      <c r="Q12" s="59" t="s">
        <v>26</v>
      </c>
      <c r="R12" s="67" t="s">
        <v>26</v>
      </c>
      <c r="S12" s="53" t="s">
        <v>19</v>
      </c>
      <c r="T12" s="60" t="s">
        <v>17</v>
      </c>
      <c r="U12" s="54" t="s">
        <v>21</v>
      </c>
      <c r="W12" s="63"/>
      <c r="X12" s="74" t="s">
        <v>17</v>
      </c>
      <c r="Y12" s="67" t="s">
        <v>16</v>
      </c>
      <c r="Z12" s="80" t="s">
        <v>34</v>
      </c>
      <c r="AA12" s="53" t="s">
        <v>19</v>
      </c>
      <c r="AB12" s="54" t="s">
        <v>21</v>
      </c>
      <c r="AC12" s="56" t="s">
        <v>25</v>
      </c>
      <c r="AD12" s="58" t="s">
        <v>23</v>
      </c>
      <c r="AE12" s="52" t="s">
        <v>27</v>
      </c>
      <c r="AF12" s="53" t="s">
        <v>27</v>
      </c>
      <c r="AG12" s="54" t="s">
        <v>22</v>
      </c>
      <c r="AH12" s="56" t="s">
        <v>25</v>
      </c>
      <c r="AI12" s="79" t="s">
        <v>18</v>
      </c>
      <c r="AJ12" s="81"/>
      <c r="AK12" s="78" t="s">
        <v>20</v>
      </c>
      <c r="AL12" s="74" t="s">
        <v>17</v>
      </c>
      <c r="AM12" s="61" t="s">
        <v>23</v>
      </c>
      <c r="AN12" s="54" t="s">
        <v>21</v>
      </c>
      <c r="AO12" s="53" t="s">
        <v>19</v>
      </c>
      <c r="AP12" s="67" t="s">
        <v>16</v>
      </c>
      <c r="AQ12" s="56" t="s">
        <v>25</v>
      </c>
      <c r="AR12" s="63"/>
      <c r="AS12" s="42"/>
      <c r="AT12" s="43" t="n">
        <f aca="false">COUNTIF($C12:$AR12,AT$5)</f>
        <v>2</v>
      </c>
      <c r="AU12" s="44" t="n">
        <f aca="false">COUNTIF($C12:$AR12,AU$5)</f>
        <v>5</v>
      </c>
      <c r="AV12" s="44" t="n">
        <f aca="false">COUNTIF($C12:$AR12,AV$5)</f>
        <v>2</v>
      </c>
      <c r="AW12" s="45" t="n">
        <f aca="false">COUNTIF($C12:$AR12,AW$5)</f>
        <v>0</v>
      </c>
      <c r="AX12" s="46" t="n">
        <f aca="false">COUNTIF($C12:$AR12,AX$5)</f>
        <v>4</v>
      </c>
      <c r="AY12" s="46" t="n">
        <f aca="false">COUNTIF($C12:$AR12,AY$5)</f>
        <v>2</v>
      </c>
      <c r="AZ12" s="47" t="n">
        <f aca="false">COUNTIF($C12:$AR12,AZ$5)</f>
        <v>4</v>
      </c>
      <c r="BA12" s="47" t="n">
        <f aca="false">COUNTIF($C12:$AR12,BA$5)</f>
        <v>2</v>
      </c>
      <c r="BB12" s="48" t="n">
        <f aca="false">COUNTIF($C12:$AR12,BB$5)</f>
        <v>4</v>
      </c>
      <c r="BC12" s="48" t="n">
        <f aca="false">COUNTIF($C12:$AR12,BC$5)</f>
        <v>1</v>
      </c>
      <c r="BD12" s="49" t="n">
        <f aca="false">COUNTIF($C12:$AR12,BD$5)</f>
        <v>3</v>
      </c>
      <c r="BE12" s="43" t="n">
        <f aca="false">COUNTIF($C12:$AR12,BE$5)/2</f>
        <v>1</v>
      </c>
      <c r="BF12" s="50" t="n">
        <f aca="false">COUNTIF($C12:$AR12,BF$5)/2</f>
        <v>1</v>
      </c>
      <c r="BG12" s="47" t="n">
        <f aca="false">COUNTIF($C12:$AR12,BG$5)/2</f>
        <v>1</v>
      </c>
      <c r="BH12" s="45" t="n">
        <f aca="false">COUNTIF($C12:$AR12,BH$5)/2</f>
        <v>0</v>
      </c>
      <c r="BI12" s="51" t="n">
        <f aca="false">SUM(AT12:BH12)</f>
        <v>32</v>
      </c>
    </row>
    <row r="13" customFormat="false" ht="15.75" hidden="false" customHeight="true" outlineLevel="0" collapsed="false">
      <c r="A13" s="22"/>
      <c r="B13" s="23" t="s">
        <v>40</v>
      </c>
      <c r="C13" s="59" t="s">
        <v>16</v>
      </c>
      <c r="D13" s="60" t="s">
        <v>17</v>
      </c>
      <c r="E13" s="61" t="s">
        <v>23</v>
      </c>
      <c r="F13" s="54" t="s">
        <v>21</v>
      </c>
      <c r="G13" s="53" t="s">
        <v>19</v>
      </c>
      <c r="I13" s="63"/>
      <c r="J13" s="52" t="s">
        <v>27</v>
      </c>
      <c r="K13" s="53" t="s">
        <v>27</v>
      </c>
      <c r="L13" s="53" t="s">
        <v>20</v>
      </c>
      <c r="M13" s="54" t="s">
        <v>22</v>
      </c>
      <c r="N13" s="58" t="s">
        <v>24</v>
      </c>
      <c r="O13" s="60" t="s">
        <v>17</v>
      </c>
      <c r="Q13" s="65" t="s">
        <v>21</v>
      </c>
      <c r="R13" s="56" t="s">
        <v>25</v>
      </c>
      <c r="S13" s="66" t="s">
        <v>34</v>
      </c>
      <c r="T13" s="53" t="s">
        <v>19</v>
      </c>
      <c r="U13" s="60" t="s">
        <v>18</v>
      </c>
      <c r="V13" s="61" t="s">
        <v>23</v>
      </c>
      <c r="W13" s="63"/>
      <c r="X13" s="59" t="s">
        <v>16</v>
      </c>
      <c r="Y13" s="60" t="s">
        <v>17</v>
      </c>
      <c r="Z13" s="54" t="s">
        <v>21</v>
      </c>
      <c r="AB13" s="53" t="s">
        <v>19</v>
      </c>
      <c r="AC13" s="54" t="s">
        <v>28</v>
      </c>
      <c r="AD13" s="54" t="s">
        <v>28</v>
      </c>
      <c r="AE13" s="59" t="s">
        <v>26</v>
      </c>
      <c r="AF13" s="67" t="s">
        <v>26</v>
      </c>
      <c r="AG13" s="53" t="s">
        <v>20</v>
      </c>
      <c r="AH13" s="54" t="s">
        <v>22</v>
      </c>
      <c r="AI13" s="56" t="s">
        <v>25</v>
      </c>
      <c r="AJ13" s="79" t="s">
        <v>17</v>
      </c>
      <c r="AK13" s="58" t="s">
        <v>23</v>
      </c>
      <c r="AL13" s="64" t="s">
        <v>25</v>
      </c>
      <c r="AM13" s="60" t="s">
        <v>17</v>
      </c>
      <c r="AN13" s="61" t="s">
        <v>23</v>
      </c>
      <c r="AO13" s="54" t="s">
        <v>21</v>
      </c>
      <c r="AP13" s="53" t="s">
        <v>19</v>
      </c>
      <c r="AQ13" s="57" t="s">
        <v>18</v>
      </c>
      <c r="AR13" s="63"/>
      <c r="AS13" s="42"/>
      <c r="AT13" s="43" t="n">
        <f aca="false">COUNTIF($C13:$AR13,AT$5)</f>
        <v>2</v>
      </c>
      <c r="AU13" s="44" t="n">
        <f aca="false">COUNTIF($C13:$AR13,AU$5)</f>
        <v>5</v>
      </c>
      <c r="AV13" s="44" t="n">
        <f aca="false">COUNTIF($C13:$AR13,AV$5)</f>
        <v>2</v>
      </c>
      <c r="AW13" s="45" t="n">
        <f aca="false">COUNTIF($C13:$AR13,AW$5)</f>
        <v>0</v>
      </c>
      <c r="AX13" s="46" t="n">
        <f aca="false">COUNTIF($C13:$AR13,AX$5)</f>
        <v>4</v>
      </c>
      <c r="AY13" s="46" t="n">
        <f aca="false">COUNTIF($C13:$AR13,AY$5)</f>
        <v>2</v>
      </c>
      <c r="AZ13" s="47" t="n">
        <f aca="false">COUNTIF($C13:$AR13,AZ$5)</f>
        <v>4</v>
      </c>
      <c r="BA13" s="47" t="n">
        <f aca="false">COUNTIF($C13:$AR13,BA$5)</f>
        <v>2</v>
      </c>
      <c r="BB13" s="48" t="n">
        <f aca="false">COUNTIF($C13:$AR13,BB$5)</f>
        <v>4</v>
      </c>
      <c r="BC13" s="48" t="n">
        <f aca="false">COUNTIF($C13:$AR13,BC$5)</f>
        <v>1</v>
      </c>
      <c r="BD13" s="49" t="n">
        <f aca="false">COUNTIF($C13:$AR13,BD$5)</f>
        <v>3</v>
      </c>
      <c r="BE13" s="43" t="n">
        <f aca="false">COUNTIF($C13:$AR13,BE$5)/2</f>
        <v>1</v>
      </c>
      <c r="BF13" s="50" t="n">
        <f aca="false">COUNTIF($C13:$AR13,BF$5)/2</f>
        <v>1</v>
      </c>
      <c r="BG13" s="47" t="n">
        <f aca="false">COUNTIF($C13:$AR13,BG$5)/2</f>
        <v>1</v>
      </c>
      <c r="BH13" s="45" t="n">
        <f aca="false">COUNTIF($C13:$AR13,BH$5)/2</f>
        <v>0</v>
      </c>
      <c r="BI13" s="51" t="n">
        <f aca="false">SUM(AT13:BH13)</f>
        <v>32</v>
      </c>
    </row>
    <row r="14" customFormat="false" ht="15.75" hidden="false" customHeight="true" outlineLevel="0" collapsed="false">
      <c r="A14" s="22"/>
      <c r="B14" s="23" t="s">
        <v>41</v>
      </c>
      <c r="C14" s="52" t="s">
        <v>19</v>
      </c>
      <c r="D14" s="67" t="s">
        <v>16</v>
      </c>
      <c r="E14" s="60" t="s">
        <v>17</v>
      </c>
      <c r="F14" s="61" t="s">
        <v>23</v>
      </c>
      <c r="G14" s="54" t="s">
        <v>21</v>
      </c>
      <c r="H14" s="66" t="s">
        <v>34</v>
      </c>
      <c r="I14" s="82"/>
      <c r="J14" s="70" t="s">
        <v>23</v>
      </c>
      <c r="K14" s="53" t="s">
        <v>20</v>
      </c>
      <c r="L14" s="54" t="s">
        <v>28</v>
      </c>
      <c r="M14" s="54" t="s">
        <v>28</v>
      </c>
      <c r="N14" s="54" t="s">
        <v>22</v>
      </c>
      <c r="O14" s="66" t="s">
        <v>34</v>
      </c>
      <c r="P14" s="83" t="s">
        <v>17</v>
      </c>
      <c r="Q14" s="70" t="s">
        <v>23</v>
      </c>
      <c r="R14" s="54" t="s">
        <v>21</v>
      </c>
      <c r="S14" s="67" t="s">
        <v>26</v>
      </c>
      <c r="T14" s="67" t="s">
        <v>26</v>
      </c>
      <c r="U14" s="53" t="s">
        <v>19</v>
      </c>
      <c r="V14" s="60" t="s">
        <v>17</v>
      </c>
      <c r="W14" s="82"/>
      <c r="X14" s="65" t="s">
        <v>21</v>
      </c>
      <c r="Y14" s="56" t="s">
        <v>25</v>
      </c>
      <c r="Z14" s="60" t="s">
        <v>17</v>
      </c>
      <c r="AA14" s="53" t="s">
        <v>19</v>
      </c>
      <c r="AC14" s="60" t="s">
        <v>18</v>
      </c>
      <c r="AD14" s="82"/>
      <c r="AE14" s="70" t="s">
        <v>23</v>
      </c>
      <c r="AF14" s="53" t="s">
        <v>20</v>
      </c>
      <c r="AG14" s="53" t="s">
        <v>27</v>
      </c>
      <c r="AH14" s="53" t="s">
        <v>27</v>
      </c>
      <c r="AI14" s="54" t="s">
        <v>22</v>
      </c>
      <c r="AJ14" s="56" t="s">
        <v>25</v>
      </c>
      <c r="AK14" s="83" t="s">
        <v>18</v>
      </c>
      <c r="AL14" s="59" t="s">
        <v>16</v>
      </c>
      <c r="AM14" s="56" t="s">
        <v>25</v>
      </c>
      <c r="AN14" s="60" t="s">
        <v>17</v>
      </c>
      <c r="AO14" s="61" t="s">
        <v>24</v>
      </c>
      <c r="AP14" s="54" t="s">
        <v>21</v>
      </c>
      <c r="AQ14" s="53" t="s">
        <v>19</v>
      </c>
      <c r="AR14" s="82"/>
      <c r="AS14" s="42"/>
      <c r="AT14" s="43" t="n">
        <f aca="false">COUNTIF($C14:$AR14,AT$5)</f>
        <v>2</v>
      </c>
      <c r="AU14" s="44" t="n">
        <f aca="false">COUNTIF($C14:$AR14,AU$5)</f>
        <v>5</v>
      </c>
      <c r="AV14" s="44" t="n">
        <f aca="false">COUNTIF($C14:$AR14,AV$5)</f>
        <v>2</v>
      </c>
      <c r="AW14" s="45" t="n">
        <f aca="false">COUNTIF($C14:$AR14,AW$5)</f>
        <v>0</v>
      </c>
      <c r="AX14" s="46" t="n">
        <f aca="false">COUNTIF($C14:$AR14,AX$5)</f>
        <v>4</v>
      </c>
      <c r="AY14" s="46" t="n">
        <f aca="false">COUNTIF($C14:$AR14,AY$5)</f>
        <v>2</v>
      </c>
      <c r="AZ14" s="47" t="n">
        <f aca="false">COUNTIF($C14:$AR14,AZ$5)</f>
        <v>4</v>
      </c>
      <c r="BA14" s="47" t="n">
        <f aca="false">COUNTIF($C14:$AR14,BA$5)</f>
        <v>2</v>
      </c>
      <c r="BB14" s="48" t="n">
        <f aca="false">COUNTIF($C14:$AR14,BB$5)</f>
        <v>4</v>
      </c>
      <c r="BC14" s="48" t="n">
        <f aca="false">COUNTIF($C14:$AR14,BC$5)</f>
        <v>1</v>
      </c>
      <c r="BD14" s="49" t="n">
        <f aca="false">COUNTIF($C14:$AR14,BD$5)</f>
        <v>3</v>
      </c>
      <c r="BE14" s="43" t="n">
        <f aca="false">COUNTIF($C14:$AR14,BE$5)/2</f>
        <v>1</v>
      </c>
      <c r="BF14" s="50" t="n">
        <f aca="false">COUNTIF($C14:$AR14,BF$5)/2</f>
        <v>1</v>
      </c>
      <c r="BG14" s="47" t="n">
        <f aca="false">COUNTIF($C14:$AR14,BG$5)/2</f>
        <v>1</v>
      </c>
      <c r="BH14" s="45" t="n">
        <f aca="false">COUNTIF($C14:$AR14,BH$5)/2</f>
        <v>0</v>
      </c>
      <c r="BI14" s="51" t="n">
        <f aca="false">SUM(AT14:BH14)</f>
        <v>32</v>
      </c>
    </row>
    <row r="15" customFormat="false" ht="15.75" hidden="false" customHeight="true" outlineLevel="0" collapsed="false">
      <c r="A15" s="22"/>
      <c r="B15" s="23" t="s">
        <v>42</v>
      </c>
      <c r="C15" s="74" t="s">
        <v>17</v>
      </c>
      <c r="D15" s="53" t="s">
        <v>19</v>
      </c>
      <c r="E15" s="67" t="s">
        <v>16</v>
      </c>
      <c r="F15" s="60" t="s">
        <v>18</v>
      </c>
      <c r="G15" s="84" t="s">
        <v>23</v>
      </c>
      <c r="H15" s="85" t="s">
        <v>21</v>
      </c>
      <c r="I15" s="63"/>
      <c r="J15" s="74" t="s">
        <v>17</v>
      </c>
      <c r="K15" s="61" t="s">
        <v>23</v>
      </c>
      <c r="L15" s="53" t="s">
        <v>27</v>
      </c>
      <c r="M15" s="53" t="s">
        <v>27</v>
      </c>
      <c r="N15" s="55" t="s">
        <v>20</v>
      </c>
      <c r="O15" s="85" t="s">
        <v>22</v>
      </c>
      <c r="P15" s="63" t="s">
        <v>34</v>
      </c>
      <c r="Q15" s="74" t="s">
        <v>17</v>
      </c>
      <c r="R15" s="61" t="s">
        <v>23</v>
      </c>
      <c r="S15" s="54" t="s">
        <v>21</v>
      </c>
      <c r="T15" s="66" t="s">
        <v>34</v>
      </c>
      <c r="U15" s="86" t="s">
        <v>25</v>
      </c>
      <c r="V15" s="62" t="s">
        <v>19</v>
      </c>
      <c r="W15" s="63"/>
      <c r="X15" s="59" t="s">
        <v>16</v>
      </c>
      <c r="Y15" s="54" t="s">
        <v>21</v>
      </c>
      <c r="Z15" s="56" t="s">
        <v>25</v>
      </c>
      <c r="AA15" s="60" t="s">
        <v>18</v>
      </c>
      <c r="AB15" s="80" t="s">
        <v>34</v>
      </c>
      <c r="AC15" s="62" t="s">
        <v>19</v>
      </c>
      <c r="AD15" s="63"/>
      <c r="AE15" s="74" t="s">
        <v>17</v>
      </c>
      <c r="AF15" s="61" t="s">
        <v>23</v>
      </c>
      <c r="AG15" s="54" t="s">
        <v>28</v>
      </c>
      <c r="AH15" s="54" t="s">
        <v>28</v>
      </c>
      <c r="AI15" s="55" t="s">
        <v>20</v>
      </c>
      <c r="AJ15" s="85" t="s">
        <v>22</v>
      </c>
      <c r="AK15" s="87" t="s">
        <v>25</v>
      </c>
      <c r="AL15" s="59" t="s">
        <v>26</v>
      </c>
      <c r="AM15" s="67" t="s">
        <v>26</v>
      </c>
      <c r="AN15" s="53" t="s">
        <v>19</v>
      </c>
      <c r="AO15" s="60" t="s">
        <v>17</v>
      </c>
      <c r="AP15" s="84" t="s">
        <v>24</v>
      </c>
      <c r="AQ15" s="85" t="s">
        <v>21</v>
      </c>
      <c r="AR15" s="63"/>
      <c r="AS15" s="42"/>
      <c r="AT15" s="43" t="n">
        <f aca="false">COUNTIF($C15:$AR15,AT$5)</f>
        <v>2</v>
      </c>
      <c r="AU15" s="44" t="n">
        <f aca="false">COUNTIF($C15:$AR15,AU$5)</f>
        <v>5</v>
      </c>
      <c r="AV15" s="44" t="n">
        <f aca="false">COUNTIF($C15:$AR15,AV$5)</f>
        <v>2</v>
      </c>
      <c r="AW15" s="45" t="n">
        <f aca="false">COUNTIF($C15:$AR15,AW$5)</f>
        <v>0</v>
      </c>
      <c r="AX15" s="46" t="n">
        <f aca="false">COUNTIF($C15:$AR15,AX$5)</f>
        <v>4</v>
      </c>
      <c r="AY15" s="46" t="n">
        <f aca="false">COUNTIF($C15:$AR15,AY$5)</f>
        <v>2</v>
      </c>
      <c r="AZ15" s="47" t="n">
        <f aca="false">COUNTIF($C15:$AR15,AZ$5)</f>
        <v>4</v>
      </c>
      <c r="BA15" s="47" t="n">
        <f aca="false">COUNTIF($C15:$AR15,BA$5)</f>
        <v>2</v>
      </c>
      <c r="BB15" s="48" t="n">
        <f aca="false">COUNTIF($C15:$AR15,BB$5)</f>
        <v>4</v>
      </c>
      <c r="BC15" s="48" t="n">
        <f aca="false">COUNTIF($C15:$AR15,BC$5)</f>
        <v>1</v>
      </c>
      <c r="BD15" s="49" t="n">
        <f aca="false">COUNTIF($C15:$AR15,BD$5)</f>
        <v>3</v>
      </c>
      <c r="BE15" s="43" t="n">
        <f aca="false">COUNTIF($C15:$AR15,BE$5)/2</f>
        <v>1</v>
      </c>
      <c r="BF15" s="50" t="n">
        <f aca="false">COUNTIF($C15:$AR15,BF$5)/2</f>
        <v>1</v>
      </c>
      <c r="BG15" s="47" t="n">
        <f aca="false">COUNTIF($C15:$AR15,BG$5)/2</f>
        <v>1</v>
      </c>
      <c r="BH15" s="45" t="n">
        <f aca="false">COUNTIF($C15:$AR15,BH$5)/2</f>
        <v>0</v>
      </c>
      <c r="BI15" s="51" t="n">
        <f aca="false">SUM(AT15:BH15)</f>
        <v>32</v>
      </c>
    </row>
    <row r="16" customFormat="false" ht="15.75" hidden="false" customHeight="true" outlineLevel="0" collapsed="false">
      <c r="A16" s="22"/>
      <c r="B16" s="88" t="s">
        <v>43</v>
      </c>
      <c r="C16" s="65" t="s">
        <v>21</v>
      </c>
      <c r="D16" s="84" t="s">
        <v>23</v>
      </c>
      <c r="E16" s="55" t="s">
        <v>19</v>
      </c>
      <c r="F16" s="68" t="s">
        <v>16</v>
      </c>
      <c r="G16" s="79" t="s">
        <v>17</v>
      </c>
      <c r="I16" s="63"/>
      <c r="J16" s="64" t="s">
        <v>25</v>
      </c>
      <c r="K16" s="60" t="s">
        <v>17</v>
      </c>
      <c r="L16" s="84" t="s">
        <v>23</v>
      </c>
      <c r="M16" s="55" t="s">
        <v>20</v>
      </c>
      <c r="N16" s="89" t="s">
        <v>28</v>
      </c>
      <c r="O16" s="89" t="s">
        <v>28</v>
      </c>
      <c r="P16" s="76" t="s">
        <v>22</v>
      </c>
      <c r="Q16" s="52" t="s">
        <v>19</v>
      </c>
      <c r="R16" s="60" t="s">
        <v>17</v>
      </c>
      <c r="S16" s="84" t="s">
        <v>23</v>
      </c>
      <c r="T16" s="85" t="s">
        <v>21</v>
      </c>
      <c r="U16" s="77" t="s">
        <v>26</v>
      </c>
      <c r="V16" s="77" t="s">
        <v>26</v>
      </c>
      <c r="W16" s="63"/>
      <c r="X16" s="52" t="s">
        <v>19</v>
      </c>
      <c r="Y16" s="67" t="s">
        <v>16</v>
      </c>
      <c r="Z16" s="89" t="s">
        <v>21</v>
      </c>
      <c r="AA16" s="90" t="s">
        <v>25</v>
      </c>
      <c r="AB16" s="79" t="s">
        <v>18</v>
      </c>
      <c r="AC16" s="80" t="s">
        <v>34</v>
      </c>
      <c r="AD16" s="63"/>
      <c r="AE16" s="64" t="s">
        <v>25</v>
      </c>
      <c r="AF16" s="60" t="s">
        <v>17</v>
      </c>
      <c r="AG16" s="84" t="s">
        <v>23</v>
      </c>
      <c r="AH16" s="62" t="s">
        <v>20</v>
      </c>
      <c r="AI16" s="55" t="s">
        <v>27</v>
      </c>
      <c r="AJ16" s="55" t="s">
        <v>27</v>
      </c>
      <c r="AK16" s="91" t="s">
        <v>22</v>
      </c>
      <c r="AL16" s="74" t="s">
        <v>17</v>
      </c>
      <c r="AM16" s="54" t="s">
        <v>21</v>
      </c>
      <c r="AN16" s="80" t="s">
        <v>34</v>
      </c>
      <c r="AO16" s="55" t="s">
        <v>19</v>
      </c>
      <c r="AP16" s="79" t="s">
        <v>18</v>
      </c>
      <c r="AQ16" s="84" t="s">
        <v>24</v>
      </c>
      <c r="AR16" s="63"/>
      <c r="AS16" s="42"/>
      <c r="AT16" s="43" t="n">
        <f aca="false">COUNTIF($C16:$AR16,AT$5)</f>
        <v>2</v>
      </c>
      <c r="AU16" s="44" t="n">
        <f aca="false">COUNTIF($C16:$AR16,AU$5)</f>
        <v>5</v>
      </c>
      <c r="AV16" s="44" t="n">
        <f aca="false">COUNTIF($C16:$AR16,AV$5)</f>
        <v>2</v>
      </c>
      <c r="AW16" s="45" t="n">
        <f aca="false">COUNTIF($C16:$AR16,AW$5)</f>
        <v>0</v>
      </c>
      <c r="AX16" s="46" t="n">
        <f aca="false">COUNTIF($C16:$AR16,AX$5)</f>
        <v>4</v>
      </c>
      <c r="AY16" s="46" t="n">
        <f aca="false">COUNTIF($C16:$AR16,AY$5)</f>
        <v>2</v>
      </c>
      <c r="AZ16" s="47" t="n">
        <f aca="false">COUNTIF($C16:$AR16,AZ$5)</f>
        <v>4</v>
      </c>
      <c r="BA16" s="47" t="n">
        <f aca="false">COUNTIF($C16:$AR16,BA$5)</f>
        <v>2</v>
      </c>
      <c r="BB16" s="48" t="n">
        <f aca="false">COUNTIF($C16:$AR16,BB$5)</f>
        <v>4</v>
      </c>
      <c r="BC16" s="48" t="n">
        <f aca="false">COUNTIF($C16:$AR16,BC$5)</f>
        <v>1</v>
      </c>
      <c r="BD16" s="49" t="n">
        <f aca="false">COUNTIF($C16:$AR16,BD$5)</f>
        <v>3</v>
      </c>
      <c r="BE16" s="43" t="n">
        <f aca="false">COUNTIF($C16:$AR16,BE$5)/2</f>
        <v>1</v>
      </c>
      <c r="BF16" s="50" t="n">
        <f aca="false">COUNTIF($C16:$AR16,BF$5)/2</f>
        <v>1</v>
      </c>
      <c r="BG16" s="47" t="n">
        <f aca="false">COUNTIF($C16:$AR16,BG$5)/2</f>
        <v>1</v>
      </c>
      <c r="BH16" s="45" t="n">
        <f aca="false">COUNTIF($C16:$AR16,BH$5)/2</f>
        <v>0</v>
      </c>
      <c r="BI16" s="51" t="n">
        <f aca="false">SUM(AT16:BH16)</f>
        <v>32</v>
      </c>
    </row>
    <row r="17" customFormat="false" ht="15.75" hidden="false" customHeight="true" outlineLevel="0" collapsed="false">
      <c r="A17" s="22"/>
      <c r="B17" s="88" t="s">
        <v>44</v>
      </c>
      <c r="C17" s="70" t="s">
        <v>23</v>
      </c>
      <c r="D17" s="54" t="s">
        <v>21</v>
      </c>
      <c r="E17" s="80" t="s">
        <v>34</v>
      </c>
      <c r="F17" s="53" t="s">
        <v>19</v>
      </c>
      <c r="G17" s="77" t="s">
        <v>16</v>
      </c>
      <c r="H17" s="79" t="s">
        <v>18</v>
      </c>
      <c r="I17" s="63"/>
      <c r="J17" s="65" t="s">
        <v>22</v>
      </c>
      <c r="K17" s="56" t="s">
        <v>25</v>
      </c>
      <c r="L17" s="79" t="s">
        <v>17</v>
      </c>
      <c r="M17" s="61" t="s">
        <v>23</v>
      </c>
      <c r="N17" s="55" t="s">
        <v>27</v>
      </c>
      <c r="O17" s="55" t="s">
        <v>27</v>
      </c>
      <c r="P17" s="78" t="s">
        <v>20</v>
      </c>
      <c r="Q17" s="89" t="s">
        <v>21</v>
      </c>
      <c r="R17" s="53" t="s">
        <v>19</v>
      </c>
      <c r="S17" s="79" t="s">
        <v>17</v>
      </c>
      <c r="T17" s="61" t="s">
        <v>23</v>
      </c>
      <c r="V17" s="80" t="s">
        <v>34</v>
      </c>
      <c r="W17" s="63"/>
      <c r="X17" s="74" t="s">
        <v>17</v>
      </c>
      <c r="Y17" s="53" t="s">
        <v>19</v>
      </c>
      <c r="Z17" s="77" t="s">
        <v>16</v>
      </c>
      <c r="AA17" s="54" t="s">
        <v>21</v>
      </c>
      <c r="AB17" s="86" t="s">
        <v>25</v>
      </c>
      <c r="AC17" s="79" t="s">
        <v>18</v>
      </c>
      <c r="AD17" s="63"/>
      <c r="AE17" s="65" t="s">
        <v>22</v>
      </c>
      <c r="AF17" s="56" t="s">
        <v>25</v>
      </c>
      <c r="AG17" s="60" t="s">
        <v>17</v>
      </c>
      <c r="AH17" s="61" t="s">
        <v>24</v>
      </c>
      <c r="AI17" s="89" t="s">
        <v>28</v>
      </c>
      <c r="AJ17" s="89" t="s">
        <v>28</v>
      </c>
      <c r="AK17" s="78" t="s">
        <v>20</v>
      </c>
      <c r="AL17" s="70" t="s">
        <v>23</v>
      </c>
      <c r="AM17" s="53" t="s">
        <v>19</v>
      </c>
      <c r="AN17" s="77" t="s">
        <v>26</v>
      </c>
      <c r="AO17" s="67" t="s">
        <v>26</v>
      </c>
      <c r="AP17" s="89" t="s">
        <v>21</v>
      </c>
      <c r="AQ17" s="79" t="s">
        <v>17</v>
      </c>
      <c r="AR17" s="63"/>
      <c r="AS17" s="42"/>
      <c r="AT17" s="43" t="n">
        <f aca="false">COUNTIF($C17:$AR17,AT$5)</f>
        <v>2</v>
      </c>
      <c r="AU17" s="44" t="n">
        <f aca="false">COUNTIF($C17:$AR17,AU$5)</f>
        <v>5</v>
      </c>
      <c r="AV17" s="44" t="n">
        <f aca="false">COUNTIF($C17:$AR17,AV$5)</f>
        <v>2</v>
      </c>
      <c r="AW17" s="45" t="n">
        <f aca="false">COUNTIF($C17:$AR17,AW$5)</f>
        <v>0</v>
      </c>
      <c r="AX17" s="46" t="n">
        <f aca="false">COUNTIF($C17:$AR17,AX$5)</f>
        <v>4</v>
      </c>
      <c r="AY17" s="46" t="n">
        <f aca="false">COUNTIF($C17:$AR17,AY$5)</f>
        <v>2</v>
      </c>
      <c r="AZ17" s="47" t="n">
        <f aca="false">COUNTIF($C17:$AR17,AZ$5)</f>
        <v>4</v>
      </c>
      <c r="BA17" s="47" t="n">
        <f aca="false">COUNTIF($C17:$AR17,BA$5)</f>
        <v>2</v>
      </c>
      <c r="BB17" s="48" t="n">
        <f aca="false">COUNTIF($C17:$AR17,BB$5)</f>
        <v>4</v>
      </c>
      <c r="BC17" s="48" t="n">
        <f aca="false">COUNTIF($C17:$AR17,BC$5)</f>
        <v>1</v>
      </c>
      <c r="BD17" s="49" t="n">
        <f aca="false">COUNTIF($C17:$AR17,BD$5)</f>
        <v>3</v>
      </c>
      <c r="BE17" s="43" t="n">
        <f aca="false">COUNTIF($C17:$AR17,BE$5)/2</f>
        <v>1</v>
      </c>
      <c r="BF17" s="50" t="n">
        <f aca="false">COUNTIF($C17:$AR17,BF$5)/2</f>
        <v>1</v>
      </c>
      <c r="BG17" s="47" t="n">
        <f aca="false">COUNTIF($C17:$AR17,BG$5)/2</f>
        <v>1</v>
      </c>
      <c r="BH17" s="45" t="n">
        <f aca="false">COUNTIF($C17:$AR17,BH$5)/2</f>
        <v>0</v>
      </c>
      <c r="BI17" s="51" t="n">
        <f aca="false">SUM(AT17:BH17)</f>
        <v>32</v>
      </c>
    </row>
    <row r="18" customFormat="false" ht="15.75" hidden="false" customHeight="true" outlineLevel="0" collapsed="false">
      <c r="A18" s="22"/>
      <c r="B18" s="88" t="s">
        <v>45</v>
      </c>
      <c r="C18" s="92" t="s">
        <v>22</v>
      </c>
      <c r="D18" s="93" t="s">
        <v>19</v>
      </c>
      <c r="E18" s="94" t="s">
        <v>17</v>
      </c>
      <c r="F18" s="95" t="s">
        <v>23</v>
      </c>
      <c r="G18" s="96" t="s">
        <v>46</v>
      </c>
      <c r="H18" s="97" t="s">
        <v>20</v>
      </c>
      <c r="I18" s="98"/>
      <c r="J18" s="92" t="s">
        <v>22</v>
      </c>
      <c r="K18" s="94" t="s">
        <v>17</v>
      </c>
      <c r="L18" s="95" t="s">
        <v>23</v>
      </c>
      <c r="M18" s="97" t="s">
        <v>20</v>
      </c>
      <c r="N18" s="99"/>
      <c r="O18" s="100" t="s">
        <v>28</v>
      </c>
      <c r="P18" s="101" t="s">
        <v>28</v>
      </c>
      <c r="Q18" s="102" t="s">
        <v>16</v>
      </c>
      <c r="R18" s="94" t="s">
        <v>17</v>
      </c>
      <c r="S18" s="103" t="s">
        <v>25</v>
      </c>
      <c r="T18" s="104" t="s">
        <v>19</v>
      </c>
      <c r="U18" s="105" t="s">
        <v>47</v>
      </c>
      <c r="V18" s="105" t="s">
        <v>47</v>
      </c>
      <c r="W18" s="106" t="s">
        <v>21</v>
      </c>
      <c r="X18" s="107" t="s">
        <v>25</v>
      </c>
      <c r="Y18" s="108" t="s">
        <v>46</v>
      </c>
      <c r="Z18" s="94" t="s">
        <v>17</v>
      </c>
      <c r="AA18" s="109" t="s">
        <v>21</v>
      </c>
      <c r="AB18" s="110" t="s">
        <v>23</v>
      </c>
      <c r="AC18" s="111" t="s">
        <v>18</v>
      </c>
      <c r="AD18" s="112" t="s">
        <v>19</v>
      </c>
      <c r="AE18" s="113" t="s">
        <v>26</v>
      </c>
      <c r="AF18" s="114" t="s">
        <v>26</v>
      </c>
      <c r="AG18" s="105" t="s">
        <v>46</v>
      </c>
      <c r="AH18" s="100" t="s">
        <v>21</v>
      </c>
      <c r="AI18" s="97" t="s">
        <v>19</v>
      </c>
      <c r="AJ18" s="94" t="s">
        <v>17</v>
      </c>
      <c r="AK18" s="115" t="s">
        <v>23</v>
      </c>
      <c r="AL18" s="116" t="s">
        <v>27</v>
      </c>
      <c r="AM18" s="97" t="s">
        <v>27</v>
      </c>
      <c r="AN18" s="117" t="s">
        <v>21</v>
      </c>
      <c r="AO18" s="118" t="s">
        <v>25</v>
      </c>
      <c r="AP18" s="119" t="s">
        <v>16</v>
      </c>
      <c r="AQ18" s="95" t="s">
        <v>24</v>
      </c>
      <c r="AR18" s="120" t="s">
        <v>18</v>
      </c>
      <c r="AS18" s="42"/>
      <c r="AT18" s="43" t="n">
        <f aca="false">COUNTIF($C18:$AR18,AT$5)</f>
        <v>2</v>
      </c>
      <c r="AU18" s="44" t="n">
        <f aca="false">COUNTIF($C18:$AR18,AU$5)</f>
        <v>5</v>
      </c>
      <c r="AV18" s="44" t="n">
        <f aca="false">COUNTIF($C18:$AR18,AV$5)</f>
        <v>2</v>
      </c>
      <c r="AW18" s="45" t="n">
        <f aca="false">COUNTIF($C18:$AR18,AW$5)</f>
        <v>0</v>
      </c>
      <c r="AX18" s="46" t="n">
        <f aca="false">COUNTIF($C18:$AR18,AX$5)</f>
        <v>4</v>
      </c>
      <c r="AY18" s="46" t="n">
        <f aca="false">COUNTIF($C18:$AR18,AY$5)</f>
        <v>2</v>
      </c>
      <c r="AZ18" s="47" t="n">
        <f aca="false">COUNTIF($C18:$AR18,AZ$5)</f>
        <v>4</v>
      </c>
      <c r="BA18" s="47" t="n">
        <f aca="false">COUNTIF($C18:$AR18,BA$5)</f>
        <v>2</v>
      </c>
      <c r="BB18" s="48" t="n">
        <f aca="false">COUNTIF($C18:$AR18,BB$5)</f>
        <v>4</v>
      </c>
      <c r="BC18" s="48" t="n">
        <f aca="false">COUNTIF($C18:$AR18,BC$5)</f>
        <v>1</v>
      </c>
      <c r="BD18" s="49" t="n">
        <f aca="false">COUNTIF($C18:$AR18,BD$5)</f>
        <v>3</v>
      </c>
      <c r="BE18" s="43" t="n">
        <f aca="false">COUNTIF($C18:$AR18,BE$5)/2</f>
        <v>1</v>
      </c>
      <c r="BF18" s="50" t="n">
        <f aca="false">COUNTIF($C18:$AR18,BF$5)/2</f>
        <v>1</v>
      </c>
      <c r="BG18" s="47" t="n">
        <f aca="false">COUNTIF($C18:$AR18,BG$5)/2</f>
        <v>1</v>
      </c>
      <c r="BH18" s="45" t="n">
        <f aca="false">COUNTIF($C18:$AR18,BH$5)/2</f>
        <v>0</v>
      </c>
      <c r="BI18" s="51" t="n">
        <f aca="false">SUM(AT18:BH18)</f>
        <v>32</v>
      </c>
    </row>
    <row r="19" customFormat="false" ht="15.75" hidden="false" customHeight="true" outlineLevel="0" collapsed="false">
      <c r="A19" s="121" t="s">
        <v>48</v>
      </c>
      <c r="B19" s="122" t="s">
        <v>49</v>
      </c>
      <c r="C19" s="32" t="s">
        <v>19</v>
      </c>
      <c r="D19" s="27" t="s">
        <v>25</v>
      </c>
      <c r="E19" s="40" t="s">
        <v>17</v>
      </c>
      <c r="F19" s="26" t="s">
        <v>24</v>
      </c>
      <c r="G19" s="25" t="s">
        <v>21</v>
      </c>
      <c r="I19" s="123"/>
      <c r="J19" s="36" t="s">
        <v>19</v>
      </c>
      <c r="K19" s="124" t="s">
        <v>34</v>
      </c>
      <c r="L19" s="40" t="s">
        <v>17</v>
      </c>
      <c r="M19" s="26" t="s">
        <v>23</v>
      </c>
      <c r="N19" s="25" t="s">
        <v>21</v>
      </c>
      <c r="O19" s="125"/>
      <c r="P19" s="126" t="s">
        <v>16</v>
      </c>
      <c r="Q19" s="127" t="s">
        <v>23</v>
      </c>
      <c r="R19" s="25" t="s">
        <v>22</v>
      </c>
      <c r="S19" s="25" t="s">
        <v>28</v>
      </c>
      <c r="T19" s="25" t="s">
        <v>28</v>
      </c>
      <c r="U19" s="32" t="s">
        <v>20</v>
      </c>
      <c r="V19" s="38" t="s">
        <v>16</v>
      </c>
      <c r="W19" s="128" t="s">
        <v>17</v>
      </c>
      <c r="X19" s="129" t="s">
        <v>34</v>
      </c>
      <c r="Y19" s="32" t="s">
        <v>19</v>
      </c>
      <c r="Z19" s="40" t="s">
        <v>17</v>
      </c>
      <c r="AA19" s="25" t="s">
        <v>21</v>
      </c>
      <c r="AB19" s="27" t="s">
        <v>25</v>
      </c>
      <c r="AC19" s="40" t="s">
        <v>18</v>
      </c>
      <c r="AD19" s="123"/>
      <c r="AE19" s="127" t="s">
        <v>23</v>
      </c>
      <c r="AF19" s="25" t="s">
        <v>21</v>
      </c>
      <c r="AG19" s="38" t="s">
        <v>26</v>
      </c>
      <c r="AH19" s="38" t="s">
        <v>26</v>
      </c>
      <c r="AI19" s="32" t="s">
        <v>19</v>
      </c>
      <c r="AJ19" s="40" t="s">
        <v>18</v>
      </c>
      <c r="AK19" s="123"/>
      <c r="AL19" s="127" t="s">
        <v>23</v>
      </c>
      <c r="AM19" s="25" t="s">
        <v>22</v>
      </c>
      <c r="AN19" s="32" t="s">
        <v>27</v>
      </c>
      <c r="AO19" s="32" t="s">
        <v>27</v>
      </c>
      <c r="AP19" s="32" t="s">
        <v>20</v>
      </c>
      <c r="AQ19" s="27" t="s">
        <v>25</v>
      </c>
      <c r="AR19" s="130" t="s">
        <v>17</v>
      </c>
      <c r="AS19" s="42"/>
      <c r="AT19" s="43" t="n">
        <f aca="false">COUNTIF($C19:$AR19,AT$5)</f>
        <v>2</v>
      </c>
      <c r="AU19" s="44" t="n">
        <f aca="false">COUNTIF($C19:$AR19,AU$5)</f>
        <v>5</v>
      </c>
      <c r="AV19" s="44" t="n">
        <f aca="false">COUNTIF($C19:$AR19,AV$5)</f>
        <v>2</v>
      </c>
      <c r="AW19" s="45" t="n">
        <f aca="false">COUNTIF($C19:$AR19,AW$5)</f>
        <v>0</v>
      </c>
      <c r="AX19" s="46" t="n">
        <f aca="false">COUNTIF($C19:$AR19,AX$5)</f>
        <v>4</v>
      </c>
      <c r="AY19" s="46" t="n">
        <f aca="false">COUNTIF($C19:$AR19,AY$5)</f>
        <v>2</v>
      </c>
      <c r="AZ19" s="47" t="n">
        <f aca="false">COUNTIF($C19:$AR19,AZ$5)</f>
        <v>4</v>
      </c>
      <c r="BA19" s="47" t="n">
        <f aca="false">COUNTIF($C19:$AR19,BA$5)</f>
        <v>2</v>
      </c>
      <c r="BB19" s="48" t="n">
        <f aca="false">COUNTIF($C19:$AR19,BB$5)</f>
        <v>4</v>
      </c>
      <c r="BC19" s="48" t="n">
        <f aca="false">COUNTIF($C19:$AR19,BC$5)</f>
        <v>1</v>
      </c>
      <c r="BD19" s="49" t="n">
        <f aca="false">COUNTIF($C19:$AR19,BD$5)</f>
        <v>3</v>
      </c>
      <c r="BE19" s="43" t="n">
        <f aca="false">COUNTIF($C19:$AR19,BE$5)/2</f>
        <v>1</v>
      </c>
      <c r="BF19" s="50" t="n">
        <f aca="false">COUNTIF($C19:$AR19,BF$5)/2</f>
        <v>1</v>
      </c>
      <c r="BG19" s="47" t="n">
        <f aca="false">COUNTIF($C19:$AR19,BG$5)/2</f>
        <v>1</v>
      </c>
      <c r="BH19" s="45" t="n">
        <f aca="false">COUNTIF($C19:$AR19,BH$5)/2</f>
        <v>0</v>
      </c>
      <c r="BI19" s="51" t="n">
        <f aca="false">SUM(AT19:BH19)</f>
        <v>32</v>
      </c>
    </row>
    <row r="20" customFormat="false" ht="15.75" hidden="false" customHeight="true" outlineLevel="0" collapsed="false">
      <c r="A20" s="121"/>
      <c r="B20" s="122" t="s">
        <v>50</v>
      </c>
      <c r="C20" s="74" t="s">
        <v>17</v>
      </c>
      <c r="D20" s="53" t="s">
        <v>19</v>
      </c>
      <c r="E20" s="56" t="s">
        <v>25</v>
      </c>
      <c r="F20" s="60" t="s">
        <v>18</v>
      </c>
      <c r="G20" s="61" t="s">
        <v>23</v>
      </c>
      <c r="H20" s="54" t="s">
        <v>21</v>
      </c>
      <c r="I20" s="131"/>
      <c r="J20" s="59" t="s">
        <v>16</v>
      </c>
      <c r="K20" s="53" t="s">
        <v>19</v>
      </c>
      <c r="L20" s="54" t="s">
        <v>21</v>
      </c>
      <c r="M20" s="60" t="s">
        <v>17</v>
      </c>
      <c r="N20" s="61" t="s">
        <v>24</v>
      </c>
      <c r="P20" s="131"/>
      <c r="Q20" s="132" t="s">
        <v>22</v>
      </c>
      <c r="R20" s="61" t="s">
        <v>23</v>
      </c>
      <c r="S20" s="53" t="s">
        <v>27</v>
      </c>
      <c r="T20" s="53" t="s">
        <v>27</v>
      </c>
      <c r="U20" s="60" t="s">
        <v>17</v>
      </c>
      <c r="V20" s="53" t="s">
        <v>20</v>
      </c>
      <c r="W20" s="133" t="s">
        <v>25</v>
      </c>
      <c r="X20" s="59" t="s">
        <v>26</v>
      </c>
      <c r="Y20" s="67" t="s">
        <v>26</v>
      </c>
      <c r="Z20" s="53" t="s">
        <v>19</v>
      </c>
      <c r="AA20" s="60" t="s">
        <v>18</v>
      </c>
      <c r="AB20" s="54" t="s">
        <v>21</v>
      </c>
      <c r="AC20" s="66" t="s">
        <v>34</v>
      </c>
      <c r="AD20" s="131"/>
      <c r="AE20" s="59" t="s">
        <v>16</v>
      </c>
      <c r="AF20" s="61" t="s">
        <v>23</v>
      </c>
      <c r="AG20" s="89" t="s">
        <v>21</v>
      </c>
      <c r="AH20" s="60" t="s">
        <v>17</v>
      </c>
      <c r="AI20" s="66" t="s">
        <v>34</v>
      </c>
      <c r="AJ20" s="53" t="s">
        <v>19</v>
      </c>
      <c r="AK20" s="131"/>
      <c r="AL20" s="65" t="s">
        <v>22</v>
      </c>
      <c r="AM20" s="61" t="s">
        <v>23</v>
      </c>
      <c r="AN20" s="54" t="s">
        <v>28</v>
      </c>
      <c r="AO20" s="54" t="s">
        <v>28</v>
      </c>
      <c r="AP20" s="60" t="s">
        <v>17</v>
      </c>
      <c r="AQ20" s="53" t="s">
        <v>20</v>
      </c>
      <c r="AR20" s="75" t="s">
        <v>25</v>
      </c>
      <c r="AS20" s="42"/>
      <c r="AT20" s="43" t="n">
        <f aca="false">COUNTIF($C20:$AR20,AT$5)</f>
        <v>2</v>
      </c>
      <c r="AU20" s="44" t="n">
        <f aca="false">COUNTIF($C20:$AR20,AU$5)</f>
        <v>5</v>
      </c>
      <c r="AV20" s="44" t="n">
        <f aca="false">COUNTIF($C20:$AR20,AV$5)</f>
        <v>2</v>
      </c>
      <c r="AW20" s="45" t="n">
        <f aca="false">COUNTIF($C20:$AR20,AW$5)</f>
        <v>0</v>
      </c>
      <c r="AX20" s="46" t="n">
        <f aca="false">COUNTIF($C20:$AR20,AX$5)</f>
        <v>4</v>
      </c>
      <c r="AY20" s="46" t="n">
        <f aca="false">COUNTIF($C20:$AR20,AY$5)</f>
        <v>2</v>
      </c>
      <c r="AZ20" s="47" t="n">
        <f aca="false">COUNTIF($C20:$AR20,AZ$5)</f>
        <v>4</v>
      </c>
      <c r="BA20" s="47" t="n">
        <f aca="false">COUNTIF($C20:$AR20,BA$5)</f>
        <v>2</v>
      </c>
      <c r="BB20" s="48" t="n">
        <f aca="false">COUNTIF($C20:$AR20,BB$5)</f>
        <v>4</v>
      </c>
      <c r="BC20" s="48" t="n">
        <f aca="false">COUNTIF($C20:$AR20,BC$5)</f>
        <v>1</v>
      </c>
      <c r="BD20" s="49" t="n">
        <f aca="false">COUNTIF($C20:$AR20,BD$5)</f>
        <v>3</v>
      </c>
      <c r="BE20" s="43" t="n">
        <f aca="false">COUNTIF($C20:$AR20,BE$5)/2</f>
        <v>1</v>
      </c>
      <c r="BF20" s="50" t="n">
        <f aca="false">COUNTIF($C20:$AR20,BF$5)/2</f>
        <v>1</v>
      </c>
      <c r="BG20" s="47" t="n">
        <f aca="false">COUNTIF($C20:$AR20,BG$5)/2</f>
        <v>1</v>
      </c>
      <c r="BH20" s="45" t="n">
        <f aca="false">COUNTIF($C20:$AR20,BH$5)/2</f>
        <v>0</v>
      </c>
      <c r="BI20" s="51" t="n">
        <f aca="false">SUM(AT20:BH20)</f>
        <v>32</v>
      </c>
    </row>
    <row r="21" customFormat="false" ht="15.75" hidden="false" customHeight="true" outlineLevel="0" collapsed="false">
      <c r="A21" s="121"/>
      <c r="B21" s="122" t="s">
        <v>51</v>
      </c>
      <c r="C21" s="56" t="s">
        <v>25</v>
      </c>
      <c r="D21" s="61" t="s">
        <v>24</v>
      </c>
      <c r="E21" s="53" t="s">
        <v>19</v>
      </c>
      <c r="F21" s="85" t="s">
        <v>21</v>
      </c>
      <c r="G21" s="60" t="s">
        <v>18</v>
      </c>
      <c r="I21" s="131"/>
      <c r="J21" s="74" t="s">
        <v>17</v>
      </c>
      <c r="K21" s="54" t="s">
        <v>21</v>
      </c>
      <c r="L21" s="53" t="s">
        <v>19</v>
      </c>
      <c r="M21" s="86" t="s">
        <v>25</v>
      </c>
      <c r="N21" s="79" t="s">
        <v>18</v>
      </c>
      <c r="O21" s="61" t="s">
        <v>23</v>
      </c>
      <c r="P21" s="131"/>
      <c r="Q21" s="134" t="s">
        <v>34</v>
      </c>
      <c r="R21" s="60" t="s">
        <v>17</v>
      </c>
      <c r="S21" s="61" t="s">
        <v>23</v>
      </c>
      <c r="T21" s="54" t="s">
        <v>22</v>
      </c>
      <c r="U21" s="54" t="s">
        <v>28</v>
      </c>
      <c r="V21" s="54" t="s">
        <v>28</v>
      </c>
      <c r="W21" s="135" t="s">
        <v>20</v>
      </c>
      <c r="X21" s="53" t="s">
        <v>19</v>
      </c>
      <c r="Y21" s="66" t="s">
        <v>34</v>
      </c>
      <c r="Z21" s="56" t="s">
        <v>25</v>
      </c>
      <c r="AA21" s="85" t="s">
        <v>21</v>
      </c>
      <c r="AB21" s="60" t="s">
        <v>17</v>
      </c>
      <c r="AC21" s="67" t="s">
        <v>16</v>
      </c>
      <c r="AD21" s="131"/>
      <c r="AE21" s="52" t="s">
        <v>19</v>
      </c>
      <c r="AF21" s="60" t="s">
        <v>17</v>
      </c>
      <c r="AG21" s="61" t="s">
        <v>23</v>
      </c>
      <c r="AH21" s="89" t="s">
        <v>21</v>
      </c>
      <c r="AI21" s="67" t="s">
        <v>26</v>
      </c>
      <c r="AJ21" s="67" t="s">
        <v>26</v>
      </c>
      <c r="AK21" s="131"/>
      <c r="AL21" s="59" t="s">
        <v>16</v>
      </c>
      <c r="AM21" s="60" t="s">
        <v>17</v>
      </c>
      <c r="AN21" s="61" t="s">
        <v>23</v>
      </c>
      <c r="AO21" s="54" t="s">
        <v>22</v>
      </c>
      <c r="AP21" s="53" t="s">
        <v>27</v>
      </c>
      <c r="AQ21" s="53" t="s">
        <v>27</v>
      </c>
      <c r="AR21" s="78" t="s">
        <v>20</v>
      </c>
      <c r="AS21" s="42"/>
      <c r="AT21" s="43" t="n">
        <f aca="false">COUNTIF($C21:$AR21,AT$5)</f>
        <v>2</v>
      </c>
      <c r="AU21" s="44" t="n">
        <f aca="false">COUNTIF($C21:$AR21,AU$5)</f>
        <v>5</v>
      </c>
      <c r="AV21" s="44" t="n">
        <f aca="false">COUNTIF($C21:$AR21,AV$5)</f>
        <v>2</v>
      </c>
      <c r="AW21" s="45" t="n">
        <f aca="false">COUNTIF($C21:$AR21,AW$5)</f>
        <v>0</v>
      </c>
      <c r="AX21" s="46" t="n">
        <f aca="false">COUNTIF($C21:$AR21,AX$5)</f>
        <v>4</v>
      </c>
      <c r="AY21" s="46" t="n">
        <f aca="false">COUNTIF($C21:$AR21,AY$5)</f>
        <v>2</v>
      </c>
      <c r="AZ21" s="47" t="n">
        <f aca="false">COUNTIF($C21:$AR21,AZ$5)</f>
        <v>4</v>
      </c>
      <c r="BA21" s="47" t="n">
        <f aca="false">COUNTIF($C21:$AR21,BA$5)</f>
        <v>2</v>
      </c>
      <c r="BB21" s="48" t="n">
        <f aca="false">COUNTIF($C21:$AR21,BB$5)</f>
        <v>4</v>
      </c>
      <c r="BC21" s="48" t="n">
        <f aca="false">COUNTIF($C21:$AR21,BC$5)</f>
        <v>1</v>
      </c>
      <c r="BD21" s="49" t="n">
        <f aca="false">COUNTIF($C21:$AR21,BD$5)</f>
        <v>3</v>
      </c>
      <c r="BE21" s="43" t="n">
        <f aca="false">COUNTIF($C21:$AR21,BE$5)/2</f>
        <v>1</v>
      </c>
      <c r="BF21" s="50" t="n">
        <f aca="false">COUNTIF($C21:$AR21,BF$5)/2</f>
        <v>1</v>
      </c>
      <c r="BG21" s="47" t="n">
        <f aca="false">COUNTIF($C21:$AR21,BG$5)/2</f>
        <v>1</v>
      </c>
      <c r="BH21" s="45" t="n">
        <f aca="false">COUNTIF($C21:$AR21,BH$5)/2</f>
        <v>0</v>
      </c>
      <c r="BI21" s="51" t="n">
        <f aca="false">SUM(AT21:BH21)</f>
        <v>32</v>
      </c>
    </row>
    <row r="22" customFormat="false" ht="15.75" hidden="false" customHeight="true" outlineLevel="0" collapsed="false">
      <c r="A22" s="121"/>
      <c r="B22" s="136" t="s">
        <v>52</v>
      </c>
      <c r="C22" s="137" t="s">
        <v>23</v>
      </c>
      <c r="D22" s="85" t="s">
        <v>21</v>
      </c>
      <c r="E22" s="138" t="s">
        <v>34</v>
      </c>
      <c r="F22" s="62" t="s">
        <v>19</v>
      </c>
      <c r="G22" s="90" t="s">
        <v>25</v>
      </c>
      <c r="H22" s="57" t="s">
        <v>17</v>
      </c>
      <c r="I22" s="139"/>
      <c r="J22" s="137" t="s">
        <v>23</v>
      </c>
      <c r="K22" s="68" t="s">
        <v>16</v>
      </c>
      <c r="L22" s="85" t="s">
        <v>21</v>
      </c>
      <c r="M22" s="62" t="s">
        <v>19</v>
      </c>
      <c r="N22" s="90" t="s">
        <v>25</v>
      </c>
      <c r="O22" s="57" t="s">
        <v>18</v>
      </c>
      <c r="P22" s="139"/>
      <c r="Q22" s="140" t="s">
        <v>20</v>
      </c>
      <c r="R22" s="138" t="s">
        <v>34</v>
      </c>
      <c r="S22" s="79" t="s">
        <v>17</v>
      </c>
      <c r="T22" s="84" t="s">
        <v>23</v>
      </c>
      <c r="U22" s="62" t="s">
        <v>27</v>
      </c>
      <c r="V22" s="62" t="s">
        <v>27</v>
      </c>
      <c r="W22" s="141" t="s">
        <v>22</v>
      </c>
      <c r="X22" s="142" t="s">
        <v>17</v>
      </c>
      <c r="Y22" s="85" t="s">
        <v>21</v>
      </c>
      <c r="Z22" s="68" t="s">
        <v>26</v>
      </c>
      <c r="AA22" s="77" t="s">
        <v>26</v>
      </c>
      <c r="AB22" s="55" t="s">
        <v>19</v>
      </c>
      <c r="AC22" s="79" t="s">
        <v>18</v>
      </c>
      <c r="AD22" s="143"/>
      <c r="AE22" s="144" t="s">
        <v>16</v>
      </c>
      <c r="AF22" s="62" t="s">
        <v>19</v>
      </c>
      <c r="AG22" s="57" t="s">
        <v>17</v>
      </c>
      <c r="AH22" s="69" t="s">
        <v>23</v>
      </c>
      <c r="AI22" s="85" t="s">
        <v>21</v>
      </c>
      <c r="AJ22" s="138" t="s">
        <v>34</v>
      </c>
      <c r="AK22" s="139"/>
      <c r="AL22" s="140" t="s">
        <v>20</v>
      </c>
      <c r="AM22" s="90" t="s">
        <v>25</v>
      </c>
      <c r="AN22" s="57" t="s">
        <v>17</v>
      </c>
      <c r="AO22" s="69" t="s">
        <v>24</v>
      </c>
      <c r="AP22" s="85" t="s">
        <v>28</v>
      </c>
      <c r="AQ22" s="85" t="s">
        <v>28</v>
      </c>
      <c r="AR22" s="145" t="s">
        <v>22</v>
      </c>
      <c r="AS22" s="146"/>
      <c r="AT22" s="43" t="n">
        <f aca="false">COUNTIF($C22:$AR22,AT$5)</f>
        <v>2</v>
      </c>
      <c r="AU22" s="44" t="n">
        <f aca="false">COUNTIF($C22:$AR22,AU$5)</f>
        <v>5</v>
      </c>
      <c r="AV22" s="44" t="n">
        <f aca="false">COUNTIF($C22:$AR22,AV$5)</f>
        <v>2</v>
      </c>
      <c r="AW22" s="45" t="n">
        <f aca="false">COUNTIF($C22:$AR22,AW$5)</f>
        <v>0</v>
      </c>
      <c r="AX22" s="46" t="n">
        <f aca="false">COUNTIF($C22:$AR22,AX$5)</f>
        <v>4</v>
      </c>
      <c r="AY22" s="46" t="n">
        <f aca="false">COUNTIF($C22:$AR22,AY$5)</f>
        <v>2</v>
      </c>
      <c r="AZ22" s="47" t="n">
        <f aca="false">COUNTIF($C22:$AR22,AZ$5)</f>
        <v>4</v>
      </c>
      <c r="BA22" s="47" t="n">
        <f aca="false">COUNTIF($C22:$AR22,BA$5)</f>
        <v>2</v>
      </c>
      <c r="BB22" s="48" t="n">
        <f aca="false">COUNTIF($C22:$AR22,BB$5)</f>
        <v>4</v>
      </c>
      <c r="BC22" s="48" t="n">
        <f aca="false">COUNTIF($C22:$AR22,BC$5)</f>
        <v>1</v>
      </c>
      <c r="BD22" s="49" t="n">
        <f aca="false">COUNTIF($C22:$AR22,BD$5)</f>
        <v>3</v>
      </c>
      <c r="BE22" s="43" t="n">
        <f aca="false">COUNTIF($C22:$AR22,BE$5)/2</f>
        <v>1</v>
      </c>
      <c r="BF22" s="50" t="n">
        <f aca="false">COUNTIF($C22:$AR22,BF$5)/2</f>
        <v>1</v>
      </c>
      <c r="BG22" s="47" t="n">
        <f aca="false">COUNTIF($C22:$AR22,BG$5)/2</f>
        <v>1</v>
      </c>
      <c r="BH22" s="45" t="n">
        <f aca="false">COUNTIF($C22:$AR22,BH$5)/2</f>
        <v>0</v>
      </c>
      <c r="BI22" s="51" t="n">
        <f aca="false">SUM(AT22:BH22)</f>
        <v>32</v>
      </c>
    </row>
    <row r="23" customFormat="false" ht="15.75" hidden="false" customHeight="true" outlineLevel="0" collapsed="false">
      <c r="A23" s="121"/>
      <c r="B23" s="122" t="s">
        <v>53</v>
      </c>
      <c r="C23" s="140" t="s">
        <v>19</v>
      </c>
      <c r="D23" s="57" t="s">
        <v>17</v>
      </c>
      <c r="E23" s="69" t="s">
        <v>23</v>
      </c>
      <c r="F23" s="85" t="s">
        <v>22</v>
      </c>
      <c r="G23" s="77" t="s">
        <v>26</v>
      </c>
      <c r="H23" s="77" t="s">
        <v>26</v>
      </c>
      <c r="I23" s="139" t="s">
        <v>34</v>
      </c>
      <c r="J23" s="142" t="s">
        <v>17</v>
      </c>
      <c r="K23" s="69" t="s">
        <v>23</v>
      </c>
      <c r="L23" s="68" t="s">
        <v>16</v>
      </c>
      <c r="M23" s="85" t="s">
        <v>22</v>
      </c>
      <c r="N23" s="62" t="s">
        <v>27</v>
      </c>
      <c r="O23" s="62" t="s">
        <v>27</v>
      </c>
      <c r="P23" s="147" t="s">
        <v>20</v>
      </c>
      <c r="Q23" s="148" t="s">
        <v>28</v>
      </c>
      <c r="R23" s="85" t="s">
        <v>28</v>
      </c>
      <c r="S23" s="55" t="s">
        <v>19</v>
      </c>
      <c r="T23" s="57" t="s">
        <v>17</v>
      </c>
      <c r="U23" s="57" t="s">
        <v>18</v>
      </c>
      <c r="V23" s="85" t="s">
        <v>21</v>
      </c>
      <c r="W23" s="139"/>
      <c r="X23" s="149" t="s">
        <v>25</v>
      </c>
      <c r="Y23" s="68" t="s">
        <v>16</v>
      </c>
      <c r="Z23" s="85" t="s">
        <v>21</v>
      </c>
      <c r="AA23" s="84" t="s">
        <v>23</v>
      </c>
      <c r="AB23" s="79" t="s">
        <v>17</v>
      </c>
      <c r="AC23" s="55" t="s">
        <v>20</v>
      </c>
      <c r="AD23" s="150"/>
      <c r="AE23" s="151" t="s">
        <v>34</v>
      </c>
      <c r="AF23" s="85" t="s">
        <v>21</v>
      </c>
      <c r="AG23" s="90" t="s">
        <v>25</v>
      </c>
      <c r="AH23" s="62" t="s">
        <v>19</v>
      </c>
      <c r="AI23" s="57" t="s">
        <v>17</v>
      </c>
      <c r="AJ23" s="69" t="s">
        <v>23</v>
      </c>
      <c r="AK23" s="139"/>
      <c r="AL23" s="140" t="s">
        <v>19</v>
      </c>
      <c r="AM23" s="85" t="s">
        <v>21</v>
      </c>
      <c r="AN23" s="90" t="s">
        <v>25</v>
      </c>
      <c r="AO23" s="57" t="s">
        <v>18</v>
      </c>
      <c r="AP23" s="69" t="s">
        <v>24</v>
      </c>
      <c r="AR23" s="72"/>
      <c r="AS23" s="146"/>
      <c r="AT23" s="43" t="n">
        <f aca="false">COUNTIF($C23:$AR23,AT$5)</f>
        <v>2</v>
      </c>
      <c r="AU23" s="44" t="n">
        <f aca="false">COUNTIF($C23:$AR23,AU$5)</f>
        <v>5</v>
      </c>
      <c r="AV23" s="44" t="n">
        <f aca="false">COUNTIF($C23:$AR23,AV$5)</f>
        <v>2</v>
      </c>
      <c r="AW23" s="45" t="n">
        <f aca="false">COUNTIF($C23:$AR23,AW$5)</f>
        <v>0</v>
      </c>
      <c r="AX23" s="46" t="n">
        <f aca="false">COUNTIF($C23:$AR23,AX$5)</f>
        <v>4</v>
      </c>
      <c r="AY23" s="46" t="n">
        <f aca="false">COUNTIF($C23:$AR23,AY$5)</f>
        <v>2</v>
      </c>
      <c r="AZ23" s="47" t="n">
        <f aca="false">COUNTIF($C23:$AR23,AZ$5)</f>
        <v>4</v>
      </c>
      <c r="BA23" s="47" t="n">
        <f aca="false">COUNTIF($C23:$AR23,BA$5)</f>
        <v>2</v>
      </c>
      <c r="BB23" s="48" t="n">
        <f aca="false">COUNTIF($C23:$AR23,BB$5)</f>
        <v>4</v>
      </c>
      <c r="BC23" s="48" t="n">
        <f aca="false">COUNTIF($C23:$AR23,BC$5)</f>
        <v>1</v>
      </c>
      <c r="BD23" s="49" t="n">
        <f aca="false">COUNTIF($C23:$AR23,BD$5)</f>
        <v>3</v>
      </c>
      <c r="BE23" s="43" t="n">
        <f aca="false">COUNTIF($C23:$AR23,BE$5)/2</f>
        <v>1</v>
      </c>
      <c r="BF23" s="50" t="n">
        <f aca="false">COUNTIF($C23:$AR23,BF$5)/2</f>
        <v>1</v>
      </c>
      <c r="BG23" s="47" t="n">
        <f aca="false">COUNTIF($C23:$AR23,BG$5)/2</f>
        <v>1</v>
      </c>
      <c r="BH23" s="45" t="n">
        <f aca="false">COUNTIF($C23:$AR23,BH$5)/2</f>
        <v>0</v>
      </c>
      <c r="BI23" s="51" t="n">
        <f aca="false">SUM(AT23:BH23)</f>
        <v>32</v>
      </c>
    </row>
    <row r="24" customFormat="false" ht="15.75" hidden="false" customHeight="true" outlineLevel="0" collapsed="false">
      <c r="A24" s="121"/>
      <c r="B24" s="122" t="s">
        <v>54</v>
      </c>
      <c r="C24" s="152" t="s">
        <v>23</v>
      </c>
      <c r="D24" s="153" t="s">
        <v>22</v>
      </c>
      <c r="E24" s="154" t="s">
        <v>17</v>
      </c>
      <c r="F24" s="155"/>
      <c r="G24" s="156" t="s">
        <v>27</v>
      </c>
      <c r="H24" s="156" t="s">
        <v>27</v>
      </c>
      <c r="I24" s="157" t="s">
        <v>20</v>
      </c>
      <c r="J24" s="158"/>
      <c r="K24" s="154" t="s">
        <v>17</v>
      </c>
      <c r="L24" s="159" t="s">
        <v>23</v>
      </c>
      <c r="M24" s="156" t="s">
        <v>20</v>
      </c>
      <c r="N24" s="160" t="s">
        <v>26</v>
      </c>
      <c r="O24" s="160" t="s">
        <v>26</v>
      </c>
      <c r="P24" s="161" t="s">
        <v>22</v>
      </c>
      <c r="Q24" s="162" t="s">
        <v>16</v>
      </c>
      <c r="R24" s="154" t="s">
        <v>17</v>
      </c>
      <c r="S24" s="163" t="s">
        <v>25</v>
      </c>
      <c r="T24" s="164" t="s">
        <v>19</v>
      </c>
      <c r="U24" s="165" t="s">
        <v>47</v>
      </c>
      <c r="V24" s="165" t="s">
        <v>47</v>
      </c>
      <c r="W24" s="161" t="s">
        <v>21</v>
      </c>
      <c r="X24" s="166" t="s">
        <v>46</v>
      </c>
      <c r="Y24" s="167" t="s">
        <v>25</v>
      </c>
      <c r="Z24" s="154" t="s">
        <v>17</v>
      </c>
      <c r="AA24" s="168" t="s">
        <v>21</v>
      </c>
      <c r="AB24" s="169" t="s">
        <v>23</v>
      </c>
      <c r="AC24" s="170" t="s">
        <v>18</v>
      </c>
      <c r="AD24" s="171" t="s">
        <v>19</v>
      </c>
      <c r="AE24" s="172" t="s">
        <v>28</v>
      </c>
      <c r="AF24" s="153" t="s">
        <v>28</v>
      </c>
      <c r="AG24" s="153" t="s">
        <v>21</v>
      </c>
      <c r="AH24" s="165" t="s">
        <v>46</v>
      </c>
      <c r="AI24" s="156" t="s">
        <v>19</v>
      </c>
      <c r="AJ24" s="154" t="s">
        <v>17</v>
      </c>
      <c r="AK24" s="173" t="s">
        <v>23</v>
      </c>
      <c r="AL24" s="174" t="s">
        <v>25</v>
      </c>
      <c r="AM24" s="156" t="s">
        <v>19</v>
      </c>
      <c r="AN24" s="153" t="s">
        <v>21</v>
      </c>
      <c r="AO24" s="165" t="s">
        <v>46</v>
      </c>
      <c r="AP24" s="175" t="s">
        <v>16</v>
      </c>
      <c r="AQ24" s="159" t="s">
        <v>24</v>
      </c>
      <c r="AR24" s="176" t="s">
        <v>18</v>
      </c>
      <c r="AS24" s="177"/>
      <c r="AT24" s="43" t="n">
        <f aca="false">COUNTIF($D24:$AQ24,AT$5)</f>
        <v>2</v>
      </c>
      <c r="AU24" s="44" t="n">
        <f aca="false">COUNTIF($D24:$AQ24,AU$5)</f>
        <v>5</v>
      </c>
      <c r="AV24" s="44" t="n">
        <f aca="false">COUNTIF($D24:$AR24,AV$5)</f>
        <v>2</v>
      </c>
      <c r="AW24" s="45" t="n">
        <f aca="false">COUNTIF($D24:$AQ24,AW$5)</f>
        <v>0</v>
      </c>
      <c r="AX24" s="46" t="n">
        <f aca="false">COUNTIF($D24:$AQ24,AX$5)</f>
        <v>4</v>
      </c>
      <c r="AY24" s="46" t="n">
        <f aca="false">COUNTIF($D24:$AQ24,AY$5)</f>
        <v>2</v>
      </c>
      <c r="AZ24" s="47" t="n">
        <f aca="false">COUNTIF($D24:$AQ24,AZ$5)</f>
        <v>4</v>
      </c>
      <c r="BA24" s="47" t="n">
        <f aca="false">COUNTIF($D24:$AQ24,BA$5)</f>
        <v>2</v>
      </c>
      <c r="BB24" s="48" t="n">
        <f aca="false">COUNTIF($C24:$AR24,BB$5)</f>
        <v>4</v>
      </c>
      <c r="BC24" s="48" t="n">
        <f aca="false">COUNTIF($D24:$AQ24,BC$5)</f>
        <v>1</v>
      </c>
      <c r="BD24" s="49" t="n">
        <f aca="false">COUNTIF($D24:$AQ24,BD$5)</f>
        <v>3</v>
      </c>
      <c r="BE24" s="43" t="n">
        <f aca="false">COUNTIF($D24:$AQ24,BE$5)/2</f>
        <v>1</v>
      </c>
      <c r="BF24" s="50" t="n">
        <f aca="false">COUNTIF($D24:$AQ24,BF$5)/2</f>
        <v>1</v>
      </c>
      <c r="BG24" s="47" t="n">
        <f aca="false">COUNTIF($D24:$AQ24,BG$5)/2</f>
        <v>1</v>
      </c>
      <c r="BH24" s="45" t="n">
        <f aca="false">COUNTIF($D24:$AQ24,BH$5)/2</f>
        <v>0</v>
      </c>
      <c r="BI24" s="51" t="n">
        <f aca="false">SUM(AT24:BH24)</f>
        <v>32</v>
      </c>
    </row>
    <row r="25" customFormat="false" ht="13.5" hidden="false" customHeight="true" outlineLevel="0" collapsed="false">
      <c r="A25" s="178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U25" s="178"/>
      <c r="V25" s="178"/>
      <c r="W25" s="178"/>
      <c r="X25" s="178"/>
      <c r="Y25" s="178"/>
      <c r="Z25" s="178"/>
      <c r="AA25" s="179"/>
      <c r="AC25" s="179"/>
      <c r="AD25" s="179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80"/>
      <c r="AV25" s="180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</row>
    <row r="26" customFormat="false" ht="13.5" hidden="false" customHeight="true" outlineLevel="0" collapsed="false">
      <c r="A26" s="178"/>
      <c r="B26" s="178"/>
      <c r="C26" s="181" t="s">
        <v>55</v>
      </c>
      <c r="D26" s="181"/>
      <c r="E26" s="181"/>
      <c r="F26" s="181" t="s">
        <v>56</v>
      </c>
      <c r="G26" s="181"/>
      <c r="H26" s="181"/>
      <c r="I26" s="181"/>
      <c r="J26" s="181"/>
      <c r="K26" s="181"/>
      <c r="L26" s="181"/>
      <c r="M26" s="178"/>
      <c r="N26" s="178"/>
      <c r="O26" s="181" t="s">
        <v>55</v>
      </c>
      <c r="P26" s="181"/>
      <c r="Q26" s="181"/>
      <c r="R26" s="181" t="s">
        <v>56</v>
      </c>
      <c r="S26" s="181"/>
      <c r="T26" s="181"/>
      <c r="U26" s="181"/>
      <c r="V26" s="181"/>
      <c r="W26" s="181"/>
      <c r="X26" s="181"/>
      <c r="Y26" s="178"/>
      <c r="Z26" s="178"/>
      <c r="AA26" s="179"/>
      <c r="AB26" s="179"/>
      <c r="AC26" s="179"/>
      <c r="AD26" s="179"/>
      <c r="AE26" s="178"/>
      <c r="AF26" s="178"/>
      <c r="AG26" s="178"/>
      <c r="AH26" s="178"/>
      <c r="AI26" s="178"/>
      <c r="AJ26" s="178"/>
      <c r="AK26" s="178"/>
      <c r="AM26" s="178"/>
      <c r="AN26" s="178"/>
      <c r="AO26" s="178"/>
      <c r="AP26" s="178"/>
      <c r="AQ26" s="178"/>
      <c r="AR26" s="178"/>
      <c r="AS26" s="178"/>
      <c r="AT26" s="178" t="s">
        <v>57</v>
      </c>
      <c r="AU26" s="180"/>
      <c r="AV26" s="180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</row>
    <row r="27" customFormat="false" ht="13.5" hidden="false" customHeight="true" outlineLevel="0" collapsed="false">
      <c r="A27" s="178"/>
      <c r="B27" s="182"/>
      <c r="C27" s="181" t="s">
        <v>9</v>
      </c>
      <c r="D27" s="181"/>
      <c r="E27" s="181"/>
      <c r="F27" s="183" t="s">
        <v>58</v>
      </c>
      <c r="G27" s="184"/>
      <c r="H27" s="184"/>
      <c r="I27" s="184"/>
      <c r="J27" s="184"/>
      <c r="K27" s="184"/>
      <c r="L27" s="185"/>
      <c r="M27" s="186"/>
      <c r="N27" s="186"/>
      <c r="O27" s="181" t="s">
        <v>59</v>
      </c>
      <c r="P27" s="181"/>
      <c r="Q27" s="181"/>
      <c r="R27" s="183" t="s">
        <v>60</v>
      </c>
      <c r="S27" s="184"/>
      <c r="T27" s="184"/>
      <c r="U27" s="184"/>
      <c r="V27" s="184"/>
      <c r="W27" s="184"/>
      <c r="X27" s="185"/>
      <c r="Y27" s="186"/>
      <c r="Z27" s="186"/>
      <c r="AA27" s="186"/>
      <c r="AB27" s="186"/>
      <c r="AD27" s="186"/>
      <c r="AE27" s="186"/>
      <c r="AF27" s="186"/>
      <c r="AG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0"/>
      <c r="AV27" s="180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</row>
    <row r="28" customFormat="false" ht="13.5" hidden="false" customHeight="true" outlineLevel="0" collapsed="false">
      <c r="A28" s="178"/>
      <c r="B28" s="182"/>
      <c r="C28" s="181" t="s">
        <v>10</v>
      </c>
      <c r="D28" s="181"/>
      <c r="E28" s="181"/>
      <c r="F28" s="183" t="s">
        <v>61</v>
      </c>
      <c r="G28" s="184"/>
      <c r="H28" s="184"/>
      <c r="I28" s="184"/>
      <c r="J28" s="184"/>
      <c r="K28" s="184"/>
      <c r="L28" s="185"/>
      <c r="M28" s="186"/>
      <c r="N28" s="186"/>
      <c r="O28" s="181" t="s">
        <v>13</v>
      </c>
      <c r="P28" s="181"/>
      <c r="Q28" s="181"/>
      <c r="R28" s="183" t="s">
        <v>62</v>
      </c>
      <c r="S28" s="184"/>
      <c r="T28" s="184"/>
      <c r="U28" s="184"/>
      <c r="V28" s="184"/>
      <c r="W28" s="184"/>
      <c r="X28" s="185"/>
      <c r="Y28" s="186"/>
      <c r="Z28" s="186"/>
      <c r="AA28" s="186"/>
      <c r="AB28" s="186"/>
      <c r="AC28" s="186"/>
      <c r="AD28" s="186"/>
      <c r="AE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0"/>
      <c r="AV28" s="180"/>
      <c r="AW28" s="178"/>
      <c r="AX28" s="178"/>
      <c r="AY28" s="178"/>
      <c r="AZ28" s="178"/>
      <c r="BG28" s="178"/>
      <c r="BH28" s="178"/>
      <c r="BI28" s="178"/>
    </row>
    <row r="29" customFormat="false" ht="13.5" hidden="false" customHeight="true" outlineLevel="0" collapsed="false">
      <c r="A29" s="178"/>
      <c r="B29" s="182"/>
      <c r="C29" s="181" t="s">
        <v>63</v>
      </c>
      <c r="D29" s="181"/>
      <c r="E29" s="181"/>
      <c r="F29" s="183" t="s">
        <v>64</v>
      </c>
      <c r="G29" s="184"/>
      <c r="H29" s="184"/>
      <c r="I29" s="184"/>
      <c r="J29" s="184"/>
      <c r="K29" s="184"/>
      <c r="L29" s="185"/>
      <c r="M29" s="186"/>
      <c r="N29" s="186"/>
      <c r="O29" s="181" t="s">
        <v>14</v>
      </c>
      <c r="P29" s="181"/>
      <c r="Q29" s="181"/>
      <c r="R29" s="183" t="s">
        <v>65</v>
      </c>
      <c r="S29" s="184"/>
      <c r="T29" s="184"/>
      <c r="U29" s="184"/>
      <c r="V29" s="184"/>
      <c r="W29" s="184"/>
      <c r="X29" s="185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0"/>
      <c r="AV29" s="180"/>
      <c r="AW29" s="178"/>
      <c r="AX29" s="178"/>
      <c r="AY29" s="178"/>
      <c r="AZ29" s="178"/>
      <c r="BG29" s="178"/>
      <c r="BH29" s="178"/>
      <c r="BI29" s="178"/>
    </row>
    <row r="30" customFormat="false" ht="13.5" hidden="false" customHeight="true" outlineLevel="0" collapsed="false">
      <c r="A30" s="178"/>
      <c r="B30" s="187"/>
      <c r="C30" s="181" t="s">
        <v>11</v>
      </c>
      <c r="D30" s="181"/>
      <c r="E30" s="181"/>
      <c r="F30" s="183" t="s">
        <v>66</v>
      </c>
      <c r="G30" s="183"/>
      <c r="H30" s="183"/>
      <c r="I30" s="183"/>
      <c r="J30" s="183"/>
      <c r="K30" s="183"/>
      <c r="L30" s="185"/>
      <c r="M30" s="186"/>
      <c r="N30" s="186"/>
      <c r="O30" s="181" t="s">
        <v>63</v>
      </c>
      <c r="P30" s="181"/>
      <c r="Q30" s="181"/>
      <c r="R30" s="183" t="s">
        <v>67</v>
      </c>
      <c r="S30" s="183"/>
      <c r="T30" s="183"/>
      <c r="U30" s="183"/>
      <c r="V30" s="183"/>
      <c r="W30" s="183"/>
      <c r="X30" s="185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0"/>
      <c r="AV30" s="180"/>
      <c r="AW30" s="178"/>
      <c r="AX30" s="178"/>
      <c r="AY30" s="178"/>
      <c r="AZ30" s="178"/>
      <c r="BG30" s="178"/>
      <c r="BH30" s="178"/>
      <c r="BI30" s="178"/>
    </row>
    <row r="31" customFormat="false" ht="13.5" hidden="false" customHeight="true" outlineLevel="0" collapsed="false">
      <c r="A31" s="178"/>
      <c r="B31" s="187"/>
      <c r="C31" s="181" t="s">
        <v>12</v>
      </c>
      <c r="D31" s="181"/>
      <c r="E31" s="181"/>
      <c r="F31" s="183" t="s">
        <v>68</v>
      </c>
      <c r="G31" s="183"/>
      <c r="H31" s="183"/>
      <c r="I31" s="183"/>
      <c r="J31" s="183"/>
      <c r="K31" s="183"/>
      <c r="L31" s="185"/>
      <c r="M31" s="186"/>
      <c r="N31" s="186"/>
      <c r="O31" s="181" t="s">
        <v>15</v>
      </c>
      <c r="P31" s="181"/>
      <c r="Q31" s="181"/>
      <c r="R31" s="183" t="s">
        <v>69</v>
      </c>
      <c r="S31" s="183"/>
      <c r="T31" s="183"/>
      <c r="U31" s="183"/>
      <c r="V31" s="183"/>
      <c r="W31" s="183"/>
      <c r="X31" s="185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0"/>
      <c r="AV31" s="180"/>
      <c r="AW31" s="178"/>
      <c r="AX31" s="178"/>
      <c r="AY31" s="178"/>
      <c r="AZ31" s="178"/>
      <c r="BG31" s="178"/>
      <c r="BH31" s="178"/>
      <c r="BI31" s="178"/>
    </row>
    <row r="32" customFormat="false" ht="13.5" hidden="false" customHeight="true" outlineLevel="0" collapsed="false">
      <c r="A32" s="178"/>
      <c r="B32" s="187"/>
      <c r="C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0"/>
      <c r="AV32" s="180"/>
      <c r="AW32" s="178"/>
      <c r="AX32" s="178"/>
      <c r="AY32" s="178"/>
      <c r="AZ32" s="178"/>
      <c r="BG32" s="178"/>
      <c r="BH32" s="178"/>
      <c r="BI32" s="178"/>
    </row>
    <row r="33" customFormat="false" ht="13.5" hidden="false" customHeight="true" outlineLevel="0" collapsed="false">
      <c r="A33" s="178"/>
      <c r="B33" s="188"/>
      <c r="C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0"/>
      <c r="AV33" s="180"/>
      <c r="AW33" s="178"/>
      <c r="AX33" s="178"/>
      <c r="AY33" s="178"/>
      <c r="AZ33" s="178"/>
      <c r="BG33" s="178"/>
      <c r="BH33" s="178"/>
      <c r="BI33" s="178"/>
    </row>
    <row r="34" customFormat="false" ht="13.5" hidden="false" customHeight="true" outlineLevel="0" collapsed="false">
      <c r="A34" s="178"/>
      <c r="B34" s="181"/>
      <c r="C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0"/>
      <c r="AV34" s="180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</row>
    <row r="35" customFormat="false" ht="13.5" hidden="false" customHeight="true" outlineLevel="0" collapsed="false">
      <c r="A35" s="178"/>
      <c r="B35" s="181"/>
      <c r="C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0"/>
      <c r="AV35" s="180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</row>
    <row r="36" customFormat="false" ht="13.5" hidden="false" customHeight="true" outlineLevel="0" collapsed="false">
      <c r="A36" s="178"/>
      <c r="B36" s="181"/>
      <c r="C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0"/>
      <c r="AV36" s="180"/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</row>
    <row r="37" customFormat="false" ht="13.5" hidden="false" customHeight="true" outlineLevel="0" collapsed="false">
      <c r="A37" s="178"/>
      <c r="B37" s="181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0"/>
      <c r="AV37" s="180"/>
      <c r="AW37" s="178"/>
      <c r="AX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</row>
    <row r="38" customFormat="false" ht="13.5" hidden="false" customHeight="true" outlineLevel="0" collapsed="false">
      <c r="A38" s="178"/>
      <c r="B38" s="181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0"/>
      <c r="AV38" s="180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</row>
    <row r="39" customFormat="false" ht="13.5" hidden="false" customHeight="true" outlineLevel="0" collapsed="false">
      <c r="A39" s="178"/>
      <c r="B39" s="181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0"/>
      <c r="AV39" s="180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</row>
    <row r="40" customFormat="false" ht="13.5" hidden="false" customHeight="true" outlineLevel="0" collapsed="false">
      <c r="A40" s="178"/>
      <c r="B40" s="181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0"/>
      <c r="AV40" s="180"/>
      <c r="AW40" s="178"/>
      <c r="AX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178"/>
      <c r="BI40" s="178"/>
    </row>
    <row r="41" customFormat="false" ht="13.5" hidden="false" customHeight="true" outlineLevel="0" collapsed="false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9"/>
      <c r="AB41" s="179"/>
      <c r="AC41" s="179"/>
      <c r="AD41" s="179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80"/>
      <c r="AV41" s="180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</row>
    <row r="42" customFormat="false" ht="13.5" hidden="false" customHeight="true" outlineLevel="0" collapsed="false">
      <c r="A42" s="180"/>
      <c r="J42" s="180"/>
      <c r="K42" s="189" t="s">
        <v>70</v>
      </c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0"/>
      <c r="AA42" s="190"/>
      <c r="AB42" s="191"/>
      <c r="AC42" s="191"/>
      <c r="AD42" s="191"/>
      <c r="AE42" s="191"/>
      <c r="AF42" s="192"/>
      <c r="AG42" s="192"/>
      <c r="AH42" s="192"/>
      <c r="AI42" s="182"/>
      <c r="AJ42" s="182"/>
      <c r="AK42" s="182"/>
      <c r="AL42" s="193"/>
      <c r="AM42" s="192"/>
      <c r="AN42" s="194"/>
      <c r="AO42" s="190"/>
      <c r="AQ42" s="195"/>
      <c r="AR42" s="195"/>
      <c r="AS42" s="180"/>
      <c r="AT42" s="180"/>
      <c r="AU42" s="180"/>
      <c r="AV42" s="180"/>
      <c r="AW42" s="180"/>
      <c r="AX42" s="180"/>
      <c r="AY42" s="180"/>
      <c r="AZ42" s="180"/>
      <c r="BA42" s="180"/>
      <c r="BB42" s="180"/>
      <c r="BC42" s="180"/>
      <c r="BD42" s="180"/>
      <c r="BE42" s="180"/>
      <c r="BF42" s="180"/>
      <c r="BG42" s="180"/>
      <c r="BH42" s="180"/>
      <c r="BI42" s="180"/>
    </row>
    <row r="43" customFormat="false" ht="13.5" hidden="false" customHeight="true" outlineLevel="0" collapsed="false">
      <c r="A43" s="178"/>
      <c r="J43" s="178"/>
      <c r="K43" s="196" t="s">
        <v>46</v>
      </c>
      <c r="L43" s="197" t="s">
        <v>71</v>
      </c>
      <c r="M43" s="197"/>
      <c r="N43" s="197"/>
      <c r="O43" s="197"/>
      <c r="P43" s="197"/>
      <c r="Q43" s="197"/>
      <c r="R43" s="197"/>
      <c r="S43" s="198" t="s">
        <v>16</v>
      </c>
      <c r="T43" s="199" t="s">
        <v>72</v>
      </c>
      <c r="U43" s="199"/>
      <c r="V43" s="199"/>
      <c r="W43" s="199"/>
      <c r="X43" s="199"/>
      <c r="Y43" s="199"/>
      <c r="AA43" s="200"/>
      <c r="AB43" s="193"/>
      <c r="AC43" s="193"/>
      <c r="AD43" s="193"/>
      <c r="AE43" s="191"/>
      <c r="AF43" s="192"/>
      <c r="AG43" s="192"/>
      <c r="AH43" s="192"/>
      <c r="AI43" s="182"/>
      <c r="AJ43" s="182"/>
      <c r="AK43" s="182"/>
      <c r="AL43" s="191"/>
      <c r="AM43" s="192"/>
      <c r="AN43" s="201"/>
      <c r="AO43" s="190"/>
      <c r="AP43" s="190"/>
      <c r="AQ43" s="195"/>
      <c r="AR43" s="195"/>
      <c r="AS43" s="178"/>
      <c r="AT43" s="178"/>
      <c r="AU43" s="178"/>
      <c r="AV43" s="178"/>
      <c r="AW43" s="178"/>
      <c r="AX43" s="178"/>
      <c r="AY43" s="178"/>
      <c r="BF43" s="178"/>
      <c r="BG43" s="178"/>
      <c r="BH43" s="178"/>
      <c r="BI43" s="178"/>
    </row>
    <row r="44" customFormat="false" ht="13.5" hidden="false" customHeight="true" outlineLevel="0" collapsed="false">
      <c r="A44" s="178"/>
      <c r="J44" s="178"/>
      <c r="K44" s="202" t="s">
        <v>47</v>
      </c>
      <c r="L44" s="203" t="s">
        <v>73</v>
      </c>
      <c r="M44" s="203"/>
      <c r="N44" s="203"/>
      <c r="O44" s="203"/>
      <c r="P44" s="203"/>
      <c r="Q44" s="203"/>
      <c r="R44" s="203"/>
      <c r="S44" s="204" t="s">
        <v>17</v>
      </c>
      <c r="T44" s="197" t="s">
        <v>74</v>
      </c>
      <c r="U44" s="197"/>
      <c r="V44" s="197"/>
      <c r="W44" s="197"/>
      <c r="X44" s="197"/>
      <c r="Y44" s="197"/>
      <c r="Z44" s="178"/>
      <c r="AA44" s="200"/>
      <c r="AB44" s="193"/>
      <c r="AC44" s="193"/>
      <c r="AD44" s="193"/>
      <c r="AE44" s="191"/>
      <c r="AF44" s="192"/>
      <c r="AG44" s="192"/>
      <c r="AH44" s="192"/>
      <c r="AI44" s="182"/>
      <c r="AJ44" s="182"/>
      <c r="AK44" s="182"/>
      <c r="AL44" s="191"/>
      <c r="AM44" s="192"/>
      <c r="AN44" s="201"/>
      <c r="AO44" s="190"/>
      <c r="AP44" s="190"/>
      <c r="AQ44" s="195"/>
      <c r="AR44" s="195"/>
      <c r="AS44" s="178"/>
      <c r="AT44" s="178"/>
      <c r="AU44" s="178"/>
      <c r="AV44" s="178"/>
      <c r="AW44" s="178"/>
      <c r="AX44" s="178"/>
      <c r="AY44" s="178"/>
      <c r="BF44" s="178"/>
      <c r="BG44" s="178"/>
      <c r="BH44" s="178"/>
      <c r="BI44" s="178"/>
    </row>
    <row r="45" customFormat="false" ht="13.5" hidden="false" customHeight="true" outlineLevel="0" collapsed="false">
      <c r="A45" s="178"/>
      <c r="J45" s="178"/>
      <c r="K45" s="205" t="s">
        <v>21</v>
      </c>
      <c r="L45" s="203" t="s">
        <v>75</v>
      </c>
      <c r="M45" s="203"/>
      <c r="N45" s="203"/>
      <c r="O45" s="203"/>
      <c r="P45" s="203"/>
      <c r="Q45" s="203"/>
      <c r="R45" s="203"/>
      <c r="S45" s="206" t="s">
        <v>19</v>
      </c>
      <c r="T45" s="203" t="s">
        <v>76</v>
      </c>
      <c r="U45" s="203"/>
      <c r="V45" s="203"/>
      <c r="W45" s="203"/>
      <c r="X45" s="203"/>
      <c r="Y45" s="203"/>
      <c r="Z45" s="178"/>
      <c r="AA45" s="200"/>
      <c r="AB45" s="193"/>
      <c r="AC45" s="193"/>
      <c r="AD45" s="193"/>
      <c r="AE45" s="191"/>
      <c r="AF45" s="192"/>
      <c r="AG45" s="192"/>
      <c r="AH45" s="192"/>
      <c r="AI45" s="182"/>
      <c r="AJ45" s="182"/>
      <c r="AK45" s="182"/>
      <c r="AL45" s="191"/>
      <c r="AM45" s="192"/>
      <c r="AN45" s="201"/>
      <c r="AO45" s="190"/>
      <c r="AP45" s="190"/>
      <c r="AQ45" s="195"/>
      <c r="AR45" s="195"/>
      <c r="AS45" s="178"/>
      <c r="AT45" s="178"/>
      <c r="AU45" s="178"/>
      <c r="AV45" s="178"/>
      <c r="AW45" s="178"/>
      <c r="AX45" s="178"/>
      <c r="AY45" s="178"/>
      <c r="BF45" s="178"/>
      <c r="BG45" s="178"/>
      <c r="BH45" s="178"/>
      <c r="BI45" s="178"/>
    </row>
    <row r="46" customFormat="false" ht="13.5" hidden="false" customHeight="true" outlineLevel="0" collapsed="false">
      <c r="A46" s="178"/>
      <c r="J46" s="178"/>
      <c r="K46" s="207" t="s">
        <v>28</v>
      </c>
      <c r="L46" s="203" t="s">
        <v>77</v>
      </c>
      <c r="M46" s="203"/>
      <c r="N46" s="203"/>
      <c r="O46" s="203"/>
      <c r="P46" s="203"/>
      <c r="Q46" s="203"/>
      <c r="R46" s="203"/>
      <c r="S46" s="206" t="s">
        <v>27</v>
      </c>
      <c r="T46" s="203" t="s">
        <v>78</v>
      </c>
      <c r="U46" s="203"/>
      <c r="V46" s="203"/>
      <c r="W46" s="203"/>
      <c r="X46" s="203"/>
      <c r="Y46" s="203"/>
      <c r="Z46" s="178"/>
      <c r="AA46" s="200"/>
      <c r="AB46" s="193"/>
      <c r="AC46" s="193"/>
      <c r="AD46" s="193"/>
      <c r="AE46" s="191"/>
      <c r="AF46" s="192"/>
      <c r="AG46" s="192"/>
      <c r="AH46" s="192"/>
      <c r="AI46" s="182"/>
      <c r="AJ46" s="182"/>
      <c r="AK46" s="182"/>
      <c r="AL46" s="191"/>
      <c r="AM46" s="192"/>
      <c r="AN46" s="201"/>
      <c r="AO46" s="190"/>
      <c r="AP46" s="190"/>
      <c r="AQ46" s="195"/>
      <c r="AR46" s="195"/>
      <c r="AS46" s="178"/>
      <c r="AT46" s="178"/>
      <c r="AU46" s="178"/>
      <c r="AV46" s="178"/>
      <c r="AW46" s="178"/>
      <c r="AX46" s="178"/>
      <c r="AY46" s="178"/>
      <c r="BF46" s="178"/>
      <c r="BG46" s="178"/>
      <c r="BH46" s="178"/>
      <c r="BI46" s="178"/>
    </row>
    <row r="47" customFormat="false" ht="13.5" hidden="false" customHeight="true" outlineLevel="0" collapsed="false">
      <c r="A47" s="178"/>
      <c r="J47" s="178"/>
      <c r="K47" s="208" t="s">
        <v>23</v>
      </c>
      <c r="L47" s="209" t="s">
        <v>79</v>
      </c>
      <c r="M47" s="209"/>
      <c r="N47" s="209"/>
      <c r="O47" s="209"/>
      <c r="P47" s="209"/>
      <c r="Q47" s="209"/>
      <c r="R47" s="209"/>
      <c r="S47" s="210" t="s">
        <v>25</v>
      </c>
      <c r="T47" s="211" t="s">
        <v>80</v>
      </c>
      <c r="U47" s="211"/>
      <c r="V47" s="211"/>
      <c r="W47" s="211"/>
      <c r="X47" s="211"/>
      <c r="Y47" s="211"/>
      <c r="Z47" s="178"/>
      <c r="AA47" s="200"/>
      <c r="AB47" s="193"/>
      <c r="AC47" s="193"/>
      <c r="AD47" s="193"/>
      <c r="AE47" s="191"/>
      <c r="AF47" s="192"/>
      <c r="AG47" s="192"/>
      <c r="AH47" s="192"/>
      <c r="AI47" s="182"/>
      <c r="AJ47" s="182"/>
      <c r="AK47" s="182"/>
      <c r="AL47" s="191"/>
      <c r="AM47" s="192"/>
      <c r="AN47" s="201"/>
      <c r="AO47" s="190"/>
      <c r="AP47" s="190"/>
      <c r="AQ47" s="195"/>
      <c r="AR47" s="195"/>
      <c r="AS47" s="178"/>
      <c r="AT47" s="178"/>
      <c r="AU47" s="178"/>
      <c r="AV47" s="178"/>
      <c r="AW47" s="178"/>
      <c r="AX47" s="178"/>
      <c r="AY47" s="178"/>
    </row>
    <row r="48" customFormat="false" ht="13.5" hidden="false" customHeight="true" outlineLevel="0" collapsed="false">
      <c r="A48" s="178"/>
      <c r="J48" s="180"/>
      <c r="K48" s="178"/>
      <c r="L48" s="178"/>
      <c r="M48" s="178"/>
      <c r="N48" s="178"/>
      <c r="O48" s="178"/>
      <c r="P48" s="178"/>
      <c r="Q48" s="178"/>
      <c r="R48" s="178"/>
      <c r="S48" s="212" t="s">
        <v>26</v>
      </c>
      <c r="T48" s="213" t="s">
        <v>81</v>
      </c>
      <c r="U48" s="213"/>
      <c r="V48" s="213"/>
      <c r="W48" s="213"/>
      <c r="X48" s="213"/>
      <c r="Y48" s="213"/>
      <c r="Z48" s="178"/>
      <c r="AA48" s="200"/>
      <c r="AB48" s="193"/>
      <c r="AC48" s="193"/>
      <c r="AD48" s="193"/>
      <c r="AE48" s="191"/>
      <c r="AF48" s="192"/>
      <c r="AG48" s="192"/>
      <c r="AH48" s="192"/>
      <c r="AI48" s="182"/>
      <c r="AJ48" s="182"/>
      <c r="AK48" s="182"/>
      <c r="AL48" s="191"/>
      <c r="AM48" s="192"/>
      <c r="AN48" s="201"/>
      <c r="AO48" s="190"/>
      <c r="AP48" s="190"/>
      <c r="AQ48" s="195"/>
      <c r="AR48" s="195"/>
      <c r="AS48" s="178"/>
      <c r="AT48" s="178"/>
      <c r="AU48" s="178"/>
      <c r="AV48" s="178"/>
      <c r="AW48" s="178"/>
      <c r="AX48" s="178"/>
      <c r="AY48" s="178"/>
    </row>
    <row r="49" customFormat="false" ht="13.5" hidden="false" customHeight="true" outlineLevel="0" collapsed="false">
      <c r="A49" s="178"/>
      <c r="J49" s="7"/>
      <c r="K49" s="7"/>
      <c r="L49" s="180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Z49" s="178"/>
      <c r="AA49" s="200"/>
      <c r="AB49" s="193"/>
      <c r="AC49" s="193"/>
      <c r="AD49" s="193"/>
      <c r="AE49" s="191"/>
      <c r="AF49" s="192"/>
      <c r="AG49" s="192"/>
      <c r="AH49" s="192"/>
      <c r="AI49" s="182"/>
      <c r="AJ49" s="182"/>
      <c r="AK49" s="182"/>
      <c r="AL49" s="191"/>
      <c r="AM49" s="192"/>
      <c r="AN49" s="201"/>
      <c r="AO49" s="190"/>
      <c r="AP49" s="190"/>
      <c r="AQ49" s="195"/>
      <c r="AR49" s="195"/>
      <c r="AS49" s="178"/>
      <c r="AT49" s="178"/>
      <c r="AU49" s="178"/>
      <c r="AV49" s="178"/>
      <c r="AW49" s="178"/>
      <c r="AX49" s="178"/>
      <c r="AY49" s="178"/>
    </row>
    <row r="50" customFormat="false" ht="13.5" hidden="false" customHeight="true" outlineLevel="0" collapsed="false">
      <c r="A50" s="178"/>
      <c r="J50" s="7"/>
      <c r="L50" s="180"/>
      <c r="M50" s="214"/>
      <c r="N50" s="180"/>
      <c r="O50" s="180"/>
      <c r="P50" s="214"/>
      <c r="Q50" s="214"/>
      <c r="R50" s="180"/>
      <c r="S50" s="214"/>
      <c r="T50" s="180"/>
      <c r="U50" s="214"/>
      <c r="V50" s="214"/>
      <c r="W50" s="180"/>
      <c r="X50" s="214"/>
      <c r="Y50" s="178"/>
      <c r="Z50" s="178"/>
      <c r="AA50" s="190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  <c r="AL50" s="191"/>
      <c r="AM50" s="192"/>
      <c r="AN50" s="190"/>
      <c r="AO50" s="190"/>
      <c r="AP50" s="190"/>
      <c r="AQ50" s="195"/>
      <c r="AR50" s="195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</row>
    <row r="51" customFormat="false" ht="13.5" hidden="false" customHeight="true" outlineLevel="0" collapsed="false">
      <c r="A51" s="178"/>
      <c r="J51" s="7"/>
      <c r="L51" s="180"/>
      <c r="M51" s="214"/>
      <c r="N51" s="180"/>
      <c r="O51" s="180"/>
      <c r="P51" s="214"/>
      <c r="Q51" s="214"/>
      <c r="R51" s="180"/>
      <c r="S51" s="214"/>
      <c r="T51" s="180"/>
      <c r="U51" s="214"/>
      <c r="V51" s="214"/>
      <c r="W51" s="180"/>
      <c r="X51" s="214"/>
      <c r="Y51" s="178"/>
      <c r="Z51" s="178"/>
      <c r="AA51" s="190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AL51" s="191"/>
      <c r="AM51" s="192"/>
      <c r="AN51" s="190"/>
      <c r="AO51" s="190"/>
      <c r="AP51" s="190"/>
      <c r="AQ51" s="195"/>
      <c r="AR51" s="195"/>
      <c r="AS51" s="178"/>
      <c r="AT51" s="178"/>
      <c r="AU51" s="178"/>
      <c r="AV51" s="178"/>
      <c r="AW51" s="178"/>
      <c r="AX51" s="178"/>
      <c r="AY51" s="178"/>
      <c r="AZ51" s="178"/>
      <c r="BA51" s="178"/>
      <c r="BB51" s="178"/>
      <c r="BC51" s="178"/>
      <c r="BD51" s="178"/>
      <c r="BE51" s="178"/>
      <c r="BF51" s="178"/>
      <c r="BG51" s="178"/>
      <c r="BH51" s="178"/>
      <c r="BI51" s="178"/>
    </row>
    <row r="52" customFormat="false" ht="12" hidden="false" customHeight="true" outlineLevel="0" collapsed="false">
      <c r="A52" s="178"/>
      <c r="J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  <c r="BC52" s="178"/>
      <c r="BD52" s="178"/>
      <c r="BE52" s="178"/>
      <c r="BF52" s="178"/>
      <c r="BG52" s="178"/>
      <c r="BH52" s="178"/>
      <c r="BI52" s="178"/>
    </row>
    <row r="53" customFormat="false" ht="12" hidden="false" customHeight="true" outlineLevel="0" collapsed="false">
      <c r="A53" s="178"/>
      <c r="B53" s="178"/>
      <c r="C53" s="178"/>
      <c r="D53" s="7"/>
      <c r="E53" s="7"/>
      <c r="F53" s="7"/>
      <c r="G53" s="7"/>
      <c r="H53" s="7"/>
      <c r="I53" s="7"/>
      <c r="J53" s="178"/>
      <c r="K53" s="178"/>
      <c r="Y53" s="178"/>
      <c r="Z53" s="178"/>
      <c r="AA53" s="178"/>
      <c r="AB53" s="178"/>
      <c r="AC53" s="178"/>
      <c r="AD53" s="178"/>
      <c r="AE53" s="178"/>
      <c r="AF53" s="180"/>
      <c r="AG53" s="180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  <c r="BH53" s="178"/>
      <c r="BI53" s="178"/>
    </row>
    <row r="54" customFormat="false" ht="12" hidden="false" customHeight="true" outlineLevel="0" collapsed="false">
      <c r="B54" s="178"/>
      <c r="C54" s="178"/>
      <c r="D54" s="178"/>
      <c r="E54" s="178"/>
      <c r="F54" s="178"/>
      <c r="G54" s="178"/>
      <c r="H54" s="178"/>
      <c r="I54" s="178"/>
      <c r="J54" s="200"/>
      <c r="K54" s="200"/>
      <c r="Y54" s="178"/>
      <c r="Z54" s="178"/>
      <c r="AA54" s="200"/>
      <c r="AB54" s="200"/>
      <c r="AL54" s="178"/>
    </row>
    <row r="55" customFormat="false" ht="12" hidden="false" customHeight="true" outlineLevel="0" collapsed="false">
      <c r="A55" s="178"/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Y55" s="200"/>
      <c r="Z55" s="200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  <c r="BC55" s="178"/>
      <c r="BD55" s="178"/>
      <c r="BE55" s="178"/>
      <c r="BF55" s="178"/>
      <c r="BG55" s="178"/>
      <c r="BH55" s="178"/>
      <c r="BI55" s="178"/>
    </row>
    <row r="56" customFormat="false" ht="12" hidden="false" customHeight="true" outlineLevel="0" collapsed="false">
      <c r="A56" s="178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L56" s="178"/>
      <c r="AM56" s="178"/>
      <c r="AN56" s="178"/>
      <c r="AO56" s="178"/>
      <c r="AP56" s="178"/>
      <c r="AQ56" s="178"/>
      <c r="AR56" s="178"/>
      <c r="BG56" s="178"/>
      <c r="BH56" s="178"/>
      <c r="BI56" s="178"/>
    </row>
    <row r="57" customFormat="false" ht="12" hidden="false" customHeight="true" outlineLevel="0" collapsed="false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K57" s="215"/>
      <c r="AL57" s="215"/>
      <c r="AM57" s="215"/>
      <c r="AN57" s="215"/>
      <c r="AO57" s="215"/>
      <c r="AP57" s="215"/>
      <c r="AQ57" s="215"/>
      <c r="AR57" s="215"/>
      <c r="BG57" s="178"/>
      <c r="BH57" s="178"/>
      <c r="BI57" s="178"/>
    </row>
    <row r="58" customFormat="false" ht="12" hidden="false" customHeight="true" outlineLevel="0" collapsed="false">
      <c r="A58" s="178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K58" s="215"/>
      <c r="AL58" s="215"/>
      <c r="AM58" s="215"/>
      <c r="AN58" s="215"/>
      <c r="AO58" s="215"/>
      <c r="AP58" s="215"/>
      <c r="AQ58" s="215"/>
      <c r="AR58" s="215"/>
      <c r="BG58" s="178"/>
      <c r="BH58" s="178"/>
      <c r="BI58" s="178"/>
    </row>
    <row r="59" customFormat="false" ht="12" hidden="false" customHeight="true" outlineLevel="0" collapsed="false">
      <c r="A59" s="178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215"/>
      <c r="AL59" s="215"/>
      <c r="AM59" s="215"/>
      <c r="AN59" s="215"/>
      <c r="AO59" s="215"/>
      <c r="AP59" s="215"/>
      <c r="AQ59" s="215"/>
      <c r="AR59" s="215"/>
      <c r="AS59" s="178"/>
      <c r="AT59" s="178"/>
      <c r="AU59" s="178"/>
      <c r="AV59" s="178"/>
      <c r="AW59" s="178"/>
      <c r="AX59" s="178"/>
      <c r="AY59" s="178"/>
      <c r="AZ59" s="178"/>
      <c r="BA59" s="178"/>
      <c r="BB59" s="178"/>
      <c r="BC59" s="178"/>
      <c r="BD59" s="178"/>
      <c r="BE59" s="178"/>
      <c r="BF59" s="178"/>
      <c r="BG59" s="178"/>
      <c r="BH59" s="178"/>
      <c r="BI59" s="178"/>
    </row>
    <row r="60" customFormat="false" ht="12" hidden="false" customHeight="true" outlineLevel="0" collapsed="false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BB60" s="178"/>
      <c r="BC60" s="178"/>
      <c r="BD60" s="178"/>
      <c r="BE60" s="178"/>
      <c r="BF60" s="178"/>
      <c r="BG60" s="178"/>
      <c r="BH60" s="178"/>
      <c r="BI60" s="178"/>
    </row>
    <row r="61" customFormat="false" ht="12" hidden="false" customHeight="true" outlineLevel="0" collapsed="false">
      <c r="A61" s="178"/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BB61" s="178"/>
      <c r="BC61" s="178"/>
      <c r="BD61" s="178"/>
      <c r="BE61" s="178"/>
      <c r="BF61" s="178"/>
      <c r="BG61" s="178"/>
      <c r="BH61" s="178"/>
      <c r="BI61" s="178"/>
    </row>
    <row r="62" customFormat="false" ht="12" hidden="false" customHeight="true" outlineLevel="0" collapsed="false">
      <c r="A62" s="178"/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BB62" s="178"/>
      <c r="BC62" s="178"/>
      <c r="BD62" s="178"/>
      <c r="BE62" s="178"/>
      <c r="BF62" s="178"/>
      <c r="BG62" s="178"/>
      <c r="BH62" s="178"/>
      <c r="BI62" s="178"/>
    </row>
    <row r="63" customFormat="false" ht="12" hidden="false" customHeight="true" outlineLevel="0" collapsed="false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BB63" s="178"/>
      <c r="BC63" s="178"/>
      <c r="BD63" s="178"/>
      <c r="BE63" s="178"/>
      <c r="BF63" s="178"/>
      <c r="BG63" s="178"/>
      <c r="BH63" s="178"/>
      <c r="BI63" s="178"/>
    </row>
    <row r="64" customFormat="false" ht="12" hidden="false" customHeight="true" outlineLevel="0" collapsed="false">
      <c r="A64" s="178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BB64" s="178"/>
      <c r="BC64" s="178"/>
      <c r="BD64" s="178"/>
      <c r="BE64" s="178"/>
      <c r="BF64" s="178"/>
      <c r="BG64" s="178"/>
      <c r="BH64" s="178"/>
      <c r="BI64" s="178"/>
    </row>
    <row r="65" customFormat="false" ht="12" hidden="false" customHeight="true" outlineLevel="0" collapsed="false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BB65" s="178"/>
      <c r="BC65" s="178"/>
      <c r="BD65" s="178"/>
      <c r="BE65" s="178"/>
      <c r="BF65" s="178"/>
      <c r="BG65" s="178"/>
      <c r="BH65" s="178"/>
      <c r="BI65" s="178"/>
    </row>
    <row r="66" customFormat="false" ht="12" hidden="false" customHeight="true" outlineLevel="0" collapsed="false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BB66" s="178"/>
      <c r="BC66" s="178"/>
      <c r="BD66" s="178"/>
      <c r="BE66" s="178"/>
      <c r="BF66" s="178"/>
      <c r="BG66" s="178"/>
      <c r="BH66" s="178"/>
      <c r="BI66" s="178"/>
    </row>
    <row r="67" customFormat="false" ht="12" hidden="false" customHeight="true" outlineLevel="0" collapsed="false"/>
    <row r="68" customFormat="false" ht="12" hidden="false" customHeight="true" outlineLevel="0" collapsed="false"/>
    <row r="69" customFormat="false" ht="12" hidden="false" customHeight="true" outlineLevel="0" collapsed="false"/>
    <row r="70" customFormat="false" ht="12" hidden="false" customHeight="true" outlineLevel="0" collapsed="false"/>
    <row r="71" customFormat="false" ht="12" hidden="false" customHeight="true" outlineLevel="0" collapsed="false"/>
    <row r="72" customFormat="false" ht="12" hidden="false" customHeight="true" outlineLevel="0" collapsed="false"/>
    <row r="73" customFormat="false" ht="12" hidden="false" customHeight="true" outlineLevel="0" collapsed="false"/>
    <row r="74" customFormat="false" ht="12" hidden="false" customHeight="true" outlineLevel="0" collapsed="false"/>
    <row r="75" customFormat="false" ht="12" hidden="false" customHeight="true" outlineLevel="0" collapsed="false"/>
    <row r="76" customFormat="false" ht="12" hidden="false" customHeight="true" outlineLevel="0" collapsed="false"/>
    <row r="77" customFormat="false" ht="12" hidden="false" customHeight="true" outlineLevel="0" collapsed="false">
      <c r="A77" s="178"/>
      <c r="J77" s="178"/>
      <c r="K77" s="178"/>
      <c r="L77" s="178"/>
      <c r="M77" s="178"/>
      <c r="N77" s="178"/>
      <c r="O77" s="178"/>
      <c r="P77" s="178"/>
      <c r="Q77" s="178"/>
      <c r="R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  <c r="AP77" s="178"/>
      <c r="AQ77" s="178"/>
      <c r="AR77" s="178"/>
      <c r="AS77" s="178"/>
      <c r="AT77" s="178"/>
      <c r="AU77" s="178"/>
      <c r="AV77" s="178"/>
      <c r="AW77" s="178"/>
      <c r="AX77" s="178"/>
      <c r="AY77" s="178"/>
      <c r="AZ77" s="178"/>
      <c r="BA77" s="178"/>
      <c r="BB77" s="178"/>
      <c r="BC77" s="178"/>
      <c r="BD77" s="178"/>
      <c r="BE77" s="178"/>
      <c r="BF77" s="178"/>
      <c r="BG77" s="178"/>
      <c r="BH77" s="178"/>
      <c r="BI77" s="178"/>
    </row>
    <row r="78" customFormat="false" ht="12" hidden="false" customHeight="true" outlineLevel="0" collapsed="false">
      <c r="A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  <c r="AM78" s="178"/>
      <c r="AN78" s="178"/>
      <c r="AO78" s="178"/>
      <c r="AP78" s="178"/>
      <c r="AQ78" s="178"/>
      <c r="AR78" s="178"/>
      <c r="AS78" s="178"/>
      <c r="AT78" s="178"/>
      <c r="AU78" s="178"/>
      <c r="AV78" s="178"/>
      <c r="AW78" s="178"/>
      <c r="AX78" s="178"/>
      <c r="AY78" s="178"/>
      <c r="AZ78" s="178"/>
      <c r="BA78" s="178"/>
      <c r="BB78" s="178"/>
      <c r="BC78" s="178"/>
      <c r="BD78" s="178"/>
      <c r="BE78" s="178"/>
      <c r="BF78" s="178"/>
      <c r="BG78" s="178"/>
      <c r="BH78" s="178"/>
      <c r="BI78" s="178"/>
    </row>
    <row r="79" customFormat="false" ht="12" hidden="false" customHeight="true" outlineLevel="0" collapsed="false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8"/>
      <c r="AX79" s="178"/>
      <c r="AY79" s="178"/>
      <c r="AZ79" s="178"/>
      <c r="BA79" s="178"/>
      <c r="BB79" s="178"/>
      <c r="BC79" s="178"/>
      <c r="BD79" s="178"/>
      <c r="BE79" s="178"/>
      <c r="BF79" s="178"/>
      <c r="BG79" s="178"/>
      <c r="BH79" s="178"/>
      <c r="BI79" s="178"/>
    </row>
    <row r="80" customFormat="false" ht="12" hidden="false" customHeight="true" outlineLevel="0" collapsed="false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78"/>
      <c r="BA80" s="178"/>
      <c r="BB80" s="178"/>
      <c r="BC80" s="178"/>
      <c r="BD80" s="178"/>
      <c r="BE80" s="178"/>
      <c r="BF80" s="178"/>
      <c r="BG80" s="178"/>
      <c r="BH80" s="178"/>
      <c r="BI80" s="178"/>
    </row>
    <row r="81" customFormat="false" ht="12" hidden="false" customHeight="true" outlineLevel="0" collapsed="false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78"/>
      <c r="AI81" s="178"/>
      <c r="AJ81" s="178"/>
      <c r="AK81" s="178"/>
      <c r="AL81" s="178"/>
      <c r="AM81" s="178"/>
      <c r="AN81" s="178"/>
      <c r="AO81" s="178"/>
      <c r="AP81" s="178"/>
      <c r="AQ81" s="178"/>
      <c r="AR81" s="178"/>
      <c r="AS81" s="178"/>
      <c r="AT81" s="178"/>
      <c r="AU81" s="178"/>
      <c r="AV81" s="178"/>
      <c r="AW81" s="178"/>
      <c r="AX81" s="178"/>
      <c r="AY81" s="178"/>
      <c r="AZ81" s="178"/>
      <c r="BA81" s="178"/>
      <c r="BB81" s="178"/>
      <c r="BC81" s="178"/>
      <c r="BD81" s="178"/>
      <c r="BE81" s="178"/>
      <c r="BF81" s="178"/>
      <c r="BG81" s="178"/>
      <c r="BH81" s="178"/>
      <c r="BI81" s="178"/>
    </row>
    <row r="82" customFormat="false" ht="12" hidden="false" customHeight="true" outlineLevel="0" collapsed="false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78"/>
      <c r="AI82" s="178"/>
      <c r="AJ82" s="178"/>
      <c r="AK82" s="178"/>
      <c r="AL82" s="178"/>
      <c r="AM82" s="178"/>
      <c r="AN82" s="178"/>
      <c r="AO82" s="178"/>
      <c r="AP82" s="178"/>
      <c r="AQ82" s="178"/>
      <c r="AR82" s="178"/>
      <c r="AS82" s="178"/>
      <c r="AT82" s="178"/>
      <c r="AU82" s="178"/>
      <c r="AV82" s="178"/>
      <c r="AW82" s="178"/>
      <c r="AX82" s="178"/>
      <c r="AY82" s="178"/>
      <c r="AZ82" s="178"/>
      <c r="BA82" s="178"/>
      <c r="BB82" s="178"/>
      <c r="BC82" s="178"/>
      <c r="BD82" s="178"/>
      <c r="BE82" s="178"/>
      <c r="BF82" s="178"/>
      <c r="BG82" s="178"/>
      <c r="BH82" s="178"/>
      <c r="BI82" s="178"/>
    </row>
    <row r="83" customFormat="false" ht="12" hidden="false" customHeight="true" outlineLevel="0" collapsed="false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78"/>
      <c r="AI83" s="178"/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178"/>
      <c r="AW83" s="178"/>
      <c r="AX83" s="178"/>
      <c r="AY83" s="178"/>
      <c r="AZ83" s="178"/>
      <c r="BA83" s="178"/>
      <c r="BB83" s="178"/>
      <c r="BC83" s="178"/>
      <c r="BD83" s="178"/>
      <c r="BE83" s="178"/>
      <c r="BF83" s="178"/>
      <c r="BG83" s="178"/>
      <c r="BH83" s="178"/>
      <c r="BI83" s="178"/>
    </row>
    <row r="84" customFormat="false" ht="12" hidden="false" customHeight="true" outlineLevel="0" collapsed="false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  <c r="AX84" s="178"/>
      <c r="AY84" s="178"/>
      <c r="AZ84" s="178"/>
      <c r="BA84" s="178"/>
      <c r="BB84" s="178"/>
      <c r="BC84" s="178"/>
      <c r="BD84" s="178"/>
      <c r="BE84" s="178"/>
      <c r="BF84" s="178"/>
      <c r="BG84" s="178"/>
      <c r="BH84" s="178"/>
      <c r="BI84" s="178"/>
    </row>
    <row r="85" customFormat="false" ht="12" hidden="false" customHeight="true" outlineLevel="0" collapsed="false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178"/>
      <c r="AW85" s="178"/>
      <c r="AX85" s="178"/>
      <c r="AY85" s="178"/>
      <c r="AZ85" s="178"/>
      <c r="BA85" s="178"/>
      <c r="BB85" s="178"/>
      <c r="BC85" s="178"/>
      <c r="BD85" s="178"/>
      <c r="BE85" s="178"/>
      <c r="BF85" s="178"/>
      <c r="BG85" s="178"/>
      <c r="BH85" s="178"/>
      <c r="BI85" s="178"/>
    </row>
    <row r="86" customFormat="false" ht="12" hidden="false" customHeight="true" outlineLevel="0" collapsed="false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78"/>
      <c r="AI86" s="178"/>
      <c r="AJ86" s="178"/>
      <c r="AK86" s="178"/>
      <c r="AL86" s="178"/>
      <c r="AM86" s="178"/>
      <c r="AN86" s="178"/>
      <c r="AO86" s="178"/>
      <c r="AP86" s="178"/>
      <c r="AQ86" s="178"/>
      <c r="AR86" s="178"/>
      <c r="AS86" s="178"/>
      <c r="AT86" s="178"/>
      <c r="AU86" s="178"/>
      <c r="AV86" s="178"/>
      <c r="AW86" s="178"/>
      <c r="AX86" s="178"/>
      <c r="AY86" s="178"/>
      <c r="AZ86" s="178"/>
      <c r="BA86" s="178"/>
      <c r="BB86" s="178"/>
      <c r="BC86" s="178"/>
      <c r="BD86" s="178"/>
      <c r="BE86" s="178"/>
      <c r="BF86" s="178"/>
      <c r="BG86" s="178"/>
      <c r="BH86" s="178"/>
      <c r="BI86" s="178"/>
    </row>
    <row r="87" customFormat="false" ht="12" hidden="false" customHeight="true" outlineLevel="0" collapsed="false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  <c r="AM87" s="178"/>
      <c r="AN87" s="178"/>
      <c r="AO87" s="178"/>
      <c r="AP87" s="178"/>
      <c r="AQ87" s="178"/>
      <c r="AR87" s="178"/>
      <c r="AS87" s="178"/>
      <c r="AT87" s="178"/>
      <c r="AU87" s="178"/>
      <c r="AV87" s="178"/>
      <c r="AW87" s="178"/>
      <c r="AX87" s="178"/>
      <c r="AY87" s="178"/>
      <c r="AZ87" s="178"/>
      <c r="BA87" s="178"/>
      <c r="BB87" s="178"/>
      <c r="BC87" s="178"/>
      <c r="BD87" s="178"/>
      <c r="BE87" s="178"/>
      <c r="BF87" s="178"/>
      <c r="BG87" s="178"/>
      <c r="BH87" s="178"/>
      <c r="BI87" s="178"/>
    </row>
    <row r="88" customFormat="false" ht="12" hidden="false" customHeight="true" outlineLevel="0" collapsed="false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78"/>
      <c r="AU88" s="178"/>
      <c r="AV88" s="178"/>
      <c r="AW88" s="178"/>
      <c r="AX88" s="178"/>
      <c r="AY88" s="178"/>
      <c r="AZ88" s="178"/>
      <c r="BA88" s="178"/>
      <c r="BB88" s="178"/>
      <c r="BC88" s="178"/>
      <c r="BD88" s="178"/>
      <c r="BE88" s="178"/>
      <c r="BF88" s="178"/>
      <c r="BG88" s="178"/>
      <c r="BH88" s="178"/>
      <c r="BI88" s="178"/>
    </row>
    <row r="89" customFormat="false" ht="12" hidden="false" customHeight="true" outlineLevel="0" collapsed="false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78"/>
      <c r="AI89" s="178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78"/>
      <c r="AV89" s="178"/>
      <c r="AW89" s="178"/>
      <c r="AX89" s="178"/>
      <c r="AY89" s="178"/>
      <c r="AZ89" s="178"/>
      <c r="BA89" s="178"/>
      <c r="BB89" s="178"/>
      <c r="BC89" s="178"/>
      <c r="BD89" s="178"/>
      <c r="BE89" s="178"/>
      <c r="BF89" s="178"/>
      <c r="BG89" s="178"/>
      <c r="BH89" s="178"/>
      <c r="BI89" s="178"/>
    </row>
    <row r="90" customFormat="false" ht="12" hidden="false" customHeight="true" outlineLevel="0" collapsed="false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78"/>
      <c r="AI90" s="178"/>
      <c r="AJ90" s="178"/>
      <c r="AK90" s="178"/>
      <c r="AL90" s="178"/>
      <c r="AM90" s="178"/>
      <c r="AN90" s="178"/>
      <c r="AO90" s="178"/>
      <c r="AP90" s="178"/>
      <c r="AQ90" s="178"/>
      <c r="AR90" s="178"/>
      <c r="AS90" s="178"/>
      <c r="AT90" s="178"/>
      <c r="AU90" s="178"/>
      <c r="AV90" s="178"/>
      <c r="AW90" s="178"/>
      <c r="AX90" s="178"/>
      <c r="AY90" s="178"/>
      <c r="AZ90" s="178"/>
      <c r="BA90" s="178"/>
      <c r="BB90" s="178"/>
      <c r="BC90" s="178"/>
      <c r="BD90" s="178"/>
      <c r="BE90" s="178"/>
      <c r="BF90" s="178"/>
      <c r="BG90" s="178"/>
      <c r="BH90" s="178"/>
      <c r="BI90" s="178"/>
    </row>
    <row r="91" customFormat="false" ht="12" hidden="false" customHeight="true" outlineLevel="0" collapsed="false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78"/>
      <c r="AI91" s="178"/>
      <c r="AJ91" s="178"/>
      <c r="AK91" s="178"/>
      <c r="AL91" s="178"/>
      <c r="AM91" s="178"/>
      <c r="AN91" s="178"/>
      <c r="AO91" s="178"/>
      <c r="AP91" s="178"/>
      <c r="AQ91" s="178"/>
      <c r="AR91" s="178"/>
      <c r="AS91" s="178"/>
      <c r="AT91" s="178"/>
      <c r="AU91" s="178"/>
      <c r="AV91" s="178"/>
      <c r="AW91" s="178"/>
      <c r="AX91" s="178"/>
      <c r="AY91" s="178"/>
      <c r="AZ91" s="178"/>
      <c r="BA91" s="178"/>
      <c r="BB91" s="178"/>
      <c r="BC91" s="178"/>
      <c r="BD91" s="178"/>
      <c r="BE91" s="178"/>
      <c r="BF91" s="178"/>
      <c r="BG91" s="178"/>
      <c r="BH91" s="178"/>
      <c r="BI91" s="178"/>
    </row>
    <row r="92" customFormat="false" ht="12" hidden="false" customHeight="true" outlineLevel="0" collapsed="false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78"/>
      <c r="AI92" s="178"/>
      <c r="AJ92" s="178"/>
      <c r="AK92" s="178"/>
      <c r="AL92" s="178"/>
      <c r="AM92" s="178"/>
      <c r="AN92" s="178"/>
      <c r="AO92" s="178"/>
      <c r="AP92" s="178"/>
      <c r="AQ92" s="178"/>
      <c r="AR92" s="178"/>
      <c r="AS92" s="178"/>
      <c r="AT92" s="178"/>
      <c r="AU92" s="178"/>
      <c r="AV92" s="178"/>
      <c r="AW92" s="178"/>
      <c r="AX92" s="178"/>
      <c r="AY92" s="178"/>
      <c r="AZ92" s="178"/>
      <c r="BA92" s="178"/>
      <c r="BB92" s="178"/>
      <c r="BC92" s="178"/>
      <c r="BD92" s="178"/>
      <c r="BE92" s="178"/>
      <c r="BF92" s="178"/>
      <c r="BG92" s="178"/>
      <c r="BH92" s="178"/>
      <c r="BI92" s="178"/>
    </row>
    <row r="93" customFormat="false" ht="12" hidden="false" customHeight="true" outlineLevel="0" collapsed="false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78"/>
      <c r="AM93" s="178"/>
      <c r="AN93" s="178"/>
      <c r="AO93" s="178"/>
      <c r="AP93" s="178"/>
      <c r="AQ93" s="178"/>
      <c r="AR93" s="178"/>
      <c r="AS93" s="178"/>
      <c r="AT93" s="178"/>
      <c r="AU93" s="178"/>
      <c r="AV93" s="178"/>
      <c r="AW93" s="178"/>
      <c r="AX93" s="178"/>
      <c r="AY93" s="178"/>
      <c r="AZ93" s="178"/>
      <c r="BA93" s="178"/>
      <c r="BB93" s="178"/>
      <c r="BC93" s="178"/>
      <c r="BD93" s="178"/>
      <c r="BE93" s="178"/>
      <c r="BF93" s="178"/>
      <c r="BG93" s="178"/>
      <c r="BH93" s="178"/>
      <c r="BI93" s="178"/>
    </row>
    <row r="94" customFormat="false" ht="12" hidden="false" customHeight="true" outlineLevel="0" collapsed="false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78"/>
      <c r="AI94" s="178"/>
      <c r="AJ94" s="178"/>
      <c r="AK94" s="178"/>
      <c r="AL94" s="178"/>
      <c r="AM94" s="178"/>
      <c r="AN94" s="178"/>
      <c r="AO94" s="178"/>
      <c r="AP94" s="178"/>
      <c r="AQ94" s="178"/>
      <c r="AR94" s="178"/>
      <c r="AS94" s="178"/>
      <c r="AT94" s="178"/>
      <c r="AU94" s="178"/>
      <c r="AV94" s="178"/>
      <c r="AW94" s="178"/>
      <c r="AX94" s="178"/>
      <c r="AY94" s="178"/>
      <c r="AZ94" s="178"/>
      <c r="BA94" s="178"/>
      <c r="BB94" s="178"/>
      <c r="BC94" s="178"/>
      <c r="BD94" s="178"/>
      <c r="BE94" s="178"/>
      <c r="BF94" s="178"/>
      <c r="BG94" s="178"/>
      <c r="BH94" s="178"/>
      <c r="BI94" s="178"/>
    </row>
    <row r="95" customFormat="false" ht="12" hidden="false" customHeight="true" outlineLevel="0" collapsed="false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  <c r="AM95" s="178"/>
      <c r="AN95" s="178"/>
      <c r="AO95" s="178"/>
      <c r="AP95" s="178"/>
      <c r="AQ95" s="178"/>
      <c r="AR95" s="178"/>
      <c r="AS95" s="178"/>
      <c r="AT95" s="178"/>
      <c r="AU95" s="178"/>
      <c r="AV95" s="178"/>
      <c r="AW95" s="178"/>
      <c r="AX95" s="178"/>
      <c r="AY95" s="178"/>
      <c r="AZ95" s="178"/>
      <c r="BA95" s="178"/>
      <c r="BB95" s="178"/>
      <c r="BC95" s="178"/>
      <c r="BD95" s="178"/>
      <c r="BE95" s="178"/>
      <c r="BF95" s="178"/>
      <c r="BG95" s="178"/>
      <c r="BH95" s="178"/>
      <c r="BI95" s="178"/>
    </row>
    <row r="96" customFormat="false" ht="12" hidden="false" customHeight="true" outlineLevel="0" collapsed="false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78"/>
      <c r="AI96" s="178"/>
      <c r="AJ96" s="178"/>
      <c r="AK96" s="178"/>
      <c r="AL96" s="178"/>
      <c r="AM96" s="178"/>
      <c r="AN96" s="178"/>
      <c r="AO96" s="178"/>
      <c r="AP96" s="178"/>
      <c r="AQ96" s="178"/>
      <c r="AR96" s="178"/>
      <c r="AS96" s="178"/>
      <c r="AT96" s="178"/>
      <c r="AU96" s="178"/>
      <c r="AV96" s="178"/>
      <c r="AW96" s="178"/>
      <c r="AX96" s="178"/>
      <c r="AY96" s="178"/>
      <c r="AZ96" s="178"/>
      <c r="BA96" s="178"/>
      <c r="BB96" s="178"/>
      <c r="BC96" s="178"/>
      <c r="BD96" s="178"/>
      <c r="BE96" s="178"/>
      <c r="BF96" s="178"/>
      <c r="BG96" s="178"/>
      <c r="BH96" s="178"/>
      <c r="BI96" s="178"/>
    </row>
    <row r="97" customFormat="false" ht="12" hidden="false" customHeight="true" outlineLevel="0" collapsed="false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78"/>
      <c r="AI97" s="178"/>
      <c r="AJ97" s="178"/>
      <c r="AK97" s="178"/>
      <c r="AL97" s="178"/>
      <c r="AM97" s="178"/>
      <c r="AN97" s="178"/>
      <c r="AO97" s="178"/>
      <c r="AP97" s="178"/>
      <c r="AQ97" s="178"/>
      <c r="AR97" s="178"/>
      <c r="AS97" s="178"/>
      <c r="AT97" s="178"/>
      <c r="AU97" s="178"/>
      <c r="AV97" s="178"/>
      <c r="AW97" s="178"/>
      <c r="AX97" s="178"/>
      <c r="AY97" s="178"/>
      <c r="AZ97" s="178"/>
      <c r="BA97" s="178"/>
      <c r="BB97" s="178"/>
      <c r="BC97" s="178"/>
      <c r="BD97" s="178"/>
      <c r="BE97" s="178"/>
      <c r="BF97" s="178"/>
      <c r="BG97" s="178"/>
      <c r="BH97" s="178"/>
      <c r="BI97" s="178"/>
    </row>
    <row r="98" customFormat="false" ht="12" hidden="false" customHeight="true" outlineLevel="0" collapsed="false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8"/>
      <c r="AR98" s="178"/>
      <c r="AS98" s="178"/>
      <c r="AT98" s="178"/>
      <c r="AU98" s="178"/>
      <c r="AV98" s="178"/>
      <c r="AW98" s="178"/>
      <c r="AX98" s="178"/>
      <c r="AY98" s="178"/>
      <c r="AZ98" s="178"/>
      <c r="BA98" s="178"/>
      <c r="BB98" s="178"/>
      <c r="BC98" s="178"/>
      <c r="BD98" s="178"/>
      <c r="BE98" s="178"/>
      <c r="BF98" s="178"/>
      <c r="BG98" s="178"/>
      <c r="BH98" s="178"/>
      <c r="BI98" s="178"/>
    </row>
    <row r="99" customFormat="false" ht="12" hidden="false" customHeight="true" outlineLevel="0" collapsed="false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78"/>
      <c r="AI99" s="178"/>
      <c r="AJ99" s="178"/>
      <c r="AK99" s="178"/>
      <c r="AL99" s="178"/>
      <c r="AM99" s="178"/>
      <c r="AN99" s="178"/>
      <c r="AO99" s="178"/>
      <c r="AP99" s="178"/>
      <c r="AQ99" s="178"/>
      <c r="AR99" s="178"/>
      <c r="AS99" s="178"/>
      <c r="AT99" s="178"/>
      <c r="AU99" s="178"/>
      <c r="AV99" s="178"/>
      <c r="AW99" s="178"/>
      <c r="AX99" s="178"/>
      <c r="AY99" s="178"/>
      <c r="AZ99" s="178"/>
      <c r="BA99" s="178"/>
      <c r="BB99" s="178"/>
      <c r="BC99" s="178"/>
      <c r="BD99" s="178"/>
      <c r="BE99" s="178"/>
      <c r="BF99" s="178"/>
      <c r="BG99" s="178"/>
      <c r="BH99" s="178"/>
      <c r="BI99" s="178"/>
    </row>
    <row r="100" customFormat="false" ht="12" hidden="false" customHeight="true" outlineLevel="0" collapsed="false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78"/>
      <c r="AI100" s="178"/>
      <c r="AJ100" s="178"/>
      <c r="AK100" s="178"/>
      <c r="AL100" s="178"/>
      <c r="AM100" s="178"/>
      <c r="AN100" s="178"/>
      <c r="AO100" s="178"/>
      <c r="AP100" s="178"/>
      <c r="AQ100" s="178"/>
      <c r="AR100" s="178"/>
      <c r="AS100" s="178"/>
      <c r="AT100" s="178"/>
      <c r="AU100" s="178"/>
      <c r="AV100" s="178"/>
      <c r="AW100" s="178"/>
      <c r="AX100" s="178"/>
      <c r="AY100" s="178"/>
      <c r="AZ100" s="178"/>
      <c r="BA100" s="178"/>
      <c r="BB100" s="178"/>
      <c r="BC100" s="178"/>
      <c r="BD100" s="178"/>
      <c r="BE100" s="178"/>
      <c r="BF100" s="178"/>
      <c r="BG100" s="178"/>
      <c r="BH100" s="178"/>
      <c r="BI100" s="178"/>
    </row>
    <row r="101" customFormat="false" ht="12" hidden="false" customHeight="true" outlineLevel="0" collapsed="false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78"/>
      <c r="AI101" s="178"/>
      <c r="AJ101" s="178"/>
      <c r="AK101" s="178"/>
      <c r="AL101" s="178"/>
      <c r="AM101" s="178"/>
      <c r="AN101" s="178"/>
      <c r="AO101" s="178"/>
      <c r="AP101" s="178"/>
      <c r="AQ101" s="178"/>
      <c r="AR101" s="178"/>
      <c r="AS101" s="178"/>
      <c r="AT101" s="178"/>
      <c r="AU101" s="178"/>
      <c r="AV101" s="178"/>
      <c r="AW101" s="178"/>
      <c r="AX101" s="178"/>
      <c r="AY101" s="178"/>
      <c r="AZ101" s="178"/>
      <c r="BA101" s="178"/>
      <c r="BB101" s="178"/>
      <c r="BC101" s="178"/>
      <c r="BD101" s="178"/>
      <c r="BE101" s="178"/>
      <c r="BF101" s="178"/>
      <c r="BG101" s="178"/>
      <c r="BH101" s="178"/>
      <c r="BI101" s="178"/>
    </row>
    <row r="102" customFormat="false" ht="12" hidden="false" customHeight="true" outlineLevel="0" collapsed="false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78"/>
      <c r="AI102" s="178"/>
      <c r="AJ102" s="178"/>
      <c r="AK102" s="178"/>
      <c r="AL102" s="178"/>
      <c r="AM102" s="178"/>
      <c r="AN102" s="178"/>
      <c r="AO102" s="178"/>
      <c r="AP102" s="178"/>
      <c r="AQ102" s="178"/>
      <c r="AR102" s="178"/>
      <c r="AS102" s="178"/>
      <c r="AT102" s="178"/>
      <c r="AU102" s="178"/>
      <c r="AV102" s="178"/>
      <c r="AW102" s="178"/>
      <c r="AX102" s="178"/>
      <c r="AY102" s="178"/>
      <c r="AZ102" s="178"/>
      <c r="BA102" s="178"/>
      <c r="BB102" s="178"/>
      <c r="BC102" s="178"/>
      <c r="BD102" s="178"/>
      <c r="BE102" s="178"/>
      <c r="BF102" s="178"/>
      <c r="BG102" s="178"/>
      <c r="BH102" s="178"/>
      <c r="BI102" s="178"/>
    </row>
    <row r="103" customFormat="false" ht="12" hidden="false" customHeight="true" outlineLevel="0" collapsed="false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78"/>
      <c r="AI103" s="178"/>
      <c r="AJ103" s="178"/>
      <c r="AK103" s="178"/>
      <c r="AL103" s="178"/>
      <c r="AM103" s="178"/>
      <c r="AN103" s="178"/>
      <c r="AO103" s="178"/>
      <c r="AP103" s="178"/>
      <c r="AQ103" s="178"/>
      <c r="AR103" s="178"/>
      <c r="AS103" s="178"/>
      <c r="AT103" s="178"/>
      <c r="AU103" s="178"/>
      <c r="AV103" s="178"/>
      <c r="AW103" s="178"/>
      <c r="AX103" s="178"/>
      <c r="AY103" s="178"/>
      <c r="AZ103" s="178"/>
      <c r="BA103" s="178"/>
      <c r="BB103" s="178"/>
      <c r="BC103" s="178"/>
      <c r="BD103" s="178"/>
      <c r="BE103" s="178"/>
      <c r="BF103" s="178"/>
      <c r="BG103" s="178"/>
      <c r="BH103" s="178"/>
      <c r="BI103" s="178"/>
    </row>
    <row r="104" customFormat="false" ht="12" hidden="false" customHeight="true" outlineLevel="0" collapsed="false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78"/>
      <c r="AI104" s="178"/>
      <c r="AJ104" s="178"/>
      <c r="AK104" s="178"/>
      <c r="AL104" s="178"/>
      <c r="AM104" s="178"/>
      <c r="AN104" s="178"/>
      <c r="AO104" s="178"/>
      <c r="AP104" s="178"/>
      <c r="AQ104" s="178"/>
      <c r="AR104" s="178"/>
      <c r="AS104" s="178"/>
      <c r="AT104" s="178"/>
      <c r="AU104" s="178"/>
      <c r="AV104" s="178"/>
      <c r="AW104" s="178"/>
      <c r="AX104" s="178"/>
      <c r="AY104" s="178"/>
      <c r="AZ104" s="178"/>
      <c r="BA104" s="178"/>
      <c r="BB104" s="178"/>
      <c r="BC104" s="178"/>
      <c r="BD104" s="178"/>
      <c r="BE104" s="178"/>
      <c r="BF104" s="178"/>
      <c r="BG104" s="178"/>
      <c r="BH104" s="178"/>
      <c r="BI104" s="178"/>
    </row>
    <row r="105" customFormat="false" ht="12" hidden="false" customHeight="true" outlineLevel="0" collapsed="false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78"/>
      <c r="AI105" s="178"/>
      <c r="AJ105" s="178"/>
      <c r="AK105" s="178"/>
      <c r="AL105" s="178"/>
      <c r="AM105" s="178"/>
      <c r="AN105" s="178"/>
      <c r="AO105" s="178"/>
      <c r="AP105" s="178"/>
      <c r="AQ105" s="178"/>
      <c r="AR105" s="178"/>
      <c r="AS105" s="178"/>
      <c r="AT105" s="178"/>
      <c r="AU105" s="178"/>
      <c r="AV105" s="178"/>
      <c r="AW105" s="178"/>
      <c r="AX105" s="178"/>
      <c r="AY105" s="178"/>
      <c r="AZ105" s="178"/>
      <c r="BA105" s="178"/>
      <c r="BB105" s="178"/>
      <c r="BC105" s="178"/>
      <c r="BD105" s="178"/>
      <c r="BE105" s="178"/>
      <c r="BF105" s="178"/>
      <c r="BG105" s="178"/>
      <c r="BH105" s="178"/>
      <c r="BI105" s="178"/>
    </row>
    <row r="106" customFormat="false" ht="12" hidden="false" customHeight="true" outlineLevel="0" collapsed="false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78"/>
      <c r="AI106" s="178"/>
      <c r="AJ106" s="178"/>
      <c r="AK106" s="178"/>
      <c r="AL106" s="178"/>
      <c r="AM106" s="178"/>
      <c r="AN106" s="178"/>
      <c r="AO106" s="178"/>
      <c r="AP106" s="178"/>
      <c r="AQ106" s="178"/>
      <c r="AR106" s="178"/>
      <c r="AS106" s="178"/>
      <c r="AT106" s="178"/>
      <c r="AU106" s="178"/>
      <c r="AV106" s="178"/>
      <c r="AW106" s="178"/>
      <c r="AX106" s="178"/>
      <c r="AY106" s="178"/>
      <c r="AZ106" s="178"/>
      <c r="BA106" s="178"/>
      <c r="BB106" s="178"/>
      <c r="BC106" s="178"/>
      <c r="BD106" s="178"/>
      <c r="BE106" s="178"/>
      <c r="BF106" s="178"/>
      <c r="BG106" s="178"/>
      <c r="BH106" s="178"/>
      <c r="BI106" s="178"/>
    </row>
    <row r="107" customFormat="false" ht="12" hidden="false" customHeight="true" outlineLevel="0" collapsed="false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78"/>
      <c r="AI107" s="178"/>
      <c r="AJ107" s="178"/>
      <c r="AK107" s="178"/>
      <c r="AL107" s="178"/>
      <c r="AM107" s="178"/>
      <c r="AN107" s="178"/>
      <c r="AO107" s="178"/>
      <c r="AP107" s="178"/>
      <c r="AQ107" s="178"/>
      <c r="AR107" s="178"/>
      <c r="AS107" s="178"/>
      <c r="AT107" s="178"/>
      <c r="AU107" s="178"/>
      <c r="AV107" s="178"/>
      <c r="AW107" s="178"/>
      <c r="AX107" s="178"/>
      <c r="AY107" s="178"/>
      <c r="AZ107" s="178"/>
      <c r="BA107" s="178"/>
      <c r="BB107" s="178"/>
      <c r="BC107" s="178"/>
      <c r="BD107" s="178"/>
      <c r="BE107" s="178"/>
      <c r="BF107" s="178"/>
      <c r="BG107" s="178"/>
      <c r="BH107" s="178"/>
      <c r="BI107" s="178"/>
    </row>
    <row r="108" customFormat="false" ht="12" hidden="false" customHeight="true" outlineLevel="0" collapsed="false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8"/>
      <c r="AR108" s="178"/>
      <c r="AS108" s="178"/>
      <c r="AT108" s="178"/>
      <c r="AU108" s="178"/>
      <c r="AV108" s="178"/>
      <c r="AW108" s="178"/>
      <c r="AX108" s="178"/>
      <c r="AY108" s="178"/>
      <c r="AZ108" s="178"/>
      <c r="BA108" s="178"/>
      <c r="BB108" s="178"/>
      <c r="BC108" s="178"/>
      <c r="BD108" s="178"/>
      <c r="BE108" s="178"/>
      <c r="BF108" s="178"/>
      <c r="BG108" s="178"/>
      <c r="BH108" s="178"/>
      <c r="BI108" s="178"/>
    </row>
    <row r="109" customFormat="false" ht="12" hidden="false" customHeight="true" outlineLevel="0" collapsed="false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78"/>
      <c r="AI109" s="178"/>
      <c r="AJ109" s="178"/>
      <c r="AK109" s="178"/>
      <c r="AL109" s="178"/>
      <c r="AM109" s="178"/>
      <c r="AN109" s="178"/>
      <c r="AO109" s="178"/>
      <c r="AP109" s="178"/>
      <c r="AQ109" s="178"/>
      <c r="AR109" s="178"/>
      <c r="AS109" s="178"/>
      <c r="AT109" s="178"/>
      <c r="AU109" s="178"/>
      <c r="AV109" s="178"/>
      <c r="AW109" s="178"/>
      <c r="AX109" s="178"/>
      <c r="AY109" s="178"/>
      <c r="AZ109" s="178"/>
      <c r="BA109" s="178"/>
      <c r="BB109" s="178"/>
      <c r="BC109" s="178"/>
      <c r="BD109" s="178"/>
      <c r="BE109" s="178"/>
      <c r="BF109" s="178"/>
      <c r="BG109" s="178"/>
      <c r="BH109" s="178"/>
      <c r="BI109" s="178"/>
    </row>
    <row r="110" customFormat="false" ht="12" hidden="false" customHeight="true" outlineLevel="0" collapsed="false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78"/>
      <c r="AI110" s="178"/>
      <c r="AJ110" s="178"/>
      <c r="AK110" s="178"/>
      <c r="AL110" s="178"/>
      <c r="AM110" s="178"/>
      <c r="AN110" s="178"/>
      <c r="AO110" s="178"/>
      <c r="AP110" s="178"/>
      <c r="AQ110" s="178"/>
      <c r="AR110" s="178"/>
      <c r="AS110" s="178"/>
      <c r="AT110" s="178"/>
      <c r="AU110" s="178"/>
      <c r="AV110" s="178"/>
      <c r="AW110" s="178"/>
      <c r="AX110" s="178"/>
      <c r="AY110" s="178"/>
      <c r="AZ110" s="178"/>
      <c r="BA110" s="178"/>
      <c r="BB110" s="178"/>
      <c r="BC110" s="178"/>
      <c r="BD110" s="178"/>
      <c r="BE110" s="178"/>
      <c r="BF110" s="178"/>
      <c r="BG110" s="178"/>
      <c r="BH110" s="178"/>
      <c r="BI110" s="178"/>
    </row>
    <row r="111" customFormat="false" ht="12" hidden="false" customHeight="true" outlineLevel="0" collapsed="false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  <c r="AM111" s="178"/>
      <c r="AN111" s="178"/>
      <c r="AO111" s="178"/>
      <c r="AP111" s="178"/>
      <c r="AQ111" s="178"/>
      <c r="AR111" s="178"/>
      <c r="AS111" s="178"/>
      <c r="AT111" s="178"/>
      <c r="AU111" s="178"/>
      <c r="AV111" s="178"/>
      <c r="AW111" s="178"/>
      <c r="AX111" s="178"/>
      <c r="AY111" s="178"/>
      <c r="AZ111" s="178"/>
      <c r="BA111" s="178"/>
      <c r="BB111" s="178"/>
      <c r="BC111" s="178"/>
      <c r="BD111" s="178"/>
      <c r="BE111" s="178"/>
      <c r="BF111" s="178"/>
      <c r="BG111" s="178"/>
      <c r="BH111" s="178"/>
      <c r="BI111" s="178"/>
    </row>
    <row r="112" customFormat="false" ht="12" hidden="false" customHeight="true" outlineLevel="0" collapsed="false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78"/>
      <c r="AI112" s="178"/>
      <c r="AJ112" s="178"/>
      <c r="AK112" s="178"/>
      <c r="AL112" s="178"/>
      <c r="AM112" s="178"/>
      <c r="AN112" s="178"/>
      <c r="AO112" s="178"/>
      <c r="AP112" s="178"/>
      <c r="AQ112" s="178"/>
      <c r="AR112" s="178"/>
      <c r="AS112" s="178"/>
      <c r="AT112" s="178"/>
      <c r="AU112" s="178"/>
      <c r="AV112" s="178"/>
      <c r="AW112" s="178"/>
      <c r="AX112" s="178"/>
      <c r="AY112" s="178"/>
      <c r="AZ112" s="178"/>
      <c r="BA112" s="178"/>
      <c r="BB112" s="178"/>
      <c r="BC112" s="178"/>
      <c r="BD112" s="178"/>
      <c r="BE112" s="178"/>
      <c r="BF112" s="178"/>
      <c r="BG112" s="178"/>
      <c r="BH112" s="178"/>
      <c r="BI112" s="178"/>
    </row>
    <row r="113" customFormat="false" ht="12" hidden="false" customHeight="true" outlineLevel="0" collapsed="false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  <c r="AW113" s="178"/>
      <c r="AX113" s="178"/>
      <c r="AY113" s="178"/>
      <c r="AZ113" s="178"/>
      <c r="BA113" s="178"/>
      <c r="BB113" s="178"/>
      <c r="BC113" s="178"/>
      <c r="BD113" s="178"/>
      <c r="BE113" s="178"/>
      <c r="BF113" s="178"/>
      <c r="BG113" s="178"/>
      <c r="BH113" s="178"/>
      <c r="BI113" s="178"/>
    </row>
    <row r="114" customFormat="false" ht="12" hidden="false" customHeight="true" outlineLevel="0" collapsed="false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  <c r="AM114" s="178"/>
      <c r="AN114" s="178"/>
      <c r="AO114" s="178"/>
      <c r="AP114" s="178"/>
      <c r="AQ114" s="178"/>
      <c r="AR114" s="178"/>
      <c r="AS114" s="178"/>
      <c r="AT114" s="178"/>
      <c r="AU114" s="178"/>
      <c r="AV114" s="178"/>
      <c r="AW114" s="178"/>
      <c r="AX114" s="178"/>
      <c r="AY114" s="178"/>
      <c r="AZ114" s="178"/>
      <c r="BA114" s="178"/>
      <c r="BB114" s="178"/>
      <c r="BC114" s="178"/>
      <c r="BD114" s="178"/>
      <c r="BE114" s="178"/>
      <c r="BF114" s="178"/>
      <c r="BG114" s="178"/>
      <c r="BH114" s="178"/>
      <c r="BI114" s="178"/>
    </row>
    <row r="115" customFormat="false" ht="12" hidden="false" customHeight="true" outlineLevel="0" collapsed="false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  <c r="AR115" s="178"/>
      <c r="AS115" s="178"/>
      <c r="AT115" s="178"/>
      <c r="AU115" s="178"/>
      <c r="AV115" s="178"/>
      <c r="AW115" s="178"/>
      <c r="AX115" s="178"/>
      <c r="AY115" s="178"/>
      <c r="AZ115" s="178"/>
      <c r="BA115" s="178"/>
      <c r="BB115" s="178"/>
      <c r="BC115" s="178"/>
      <c r="BD115" s="178"/>
      <c r="BE115" s="178"/>
      <c r="BF115" s="178"/>
      <c r="BG115" s="178"/>
      <c r="BH115" s="178"/>
      <c r="BI115" s="178"/>
    </row>
    <row r="116" customFormat="false" ht="12" hidden="false" customHeight="true" outlineLevel="0" collapsed="false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  <c r="AR116" s="178"/>
      <c r="AS116" s="178"/>
      <c r="AT116" s="178"/>
      <c r="AU116" s="178"/>
      <c r="AV116" s="178"/>
      <c r="AW116" s="178"/>
      <c r="AX116" s="178"/>
      <c r="AY116" s="178"/>
      <c r="AZ116" s="178"/>
      <c r="BA116" s="178"/>
      <c r="BB116" s="178"/>
      <c r="BC116" s="178"/>
      <c r="BD116" s="178"/>
      <c r="BE116" s="178"/>
      <c r="BF116" s="178"/>
      <c r="BG116" s="178"/>
      <c r="BH116" s="178"/>
      <c r="BI116" s="178"/>
    </row>
    <row r="117" customFormat="false" ht="12" hidden="false" customHeight="true" outlineLevel="0" collapsed="false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8"/>
      <c r="AQ117" s="178"/>
      <c r="AR117" s="178"/>
      <c r="AS117" s="178"/>
      <c r="AT117" s="178"/>
      <c r="AU117" s="178"/>
      <c r="AV117" s="178"/>
      <c r="AW117" s="178"/>
      <c r="AX117" s="178"/>
      <c r="AY117" s="178"/>
      <c r="AZ117" s="178"/>
      <c r="BA117" s="178"/>
      <c r="BB117" s="178"/>
      <c r="BC117" s="178"/>
      <c r="BD117" s="178"/>
      <c r="BE117" s="178"/>
      <c r="BF117" s="178"/>
      <c r="BG117" s="178"/>
      <c r="BH117" s="178"/>
      <c r="BI117" s="178"/>
    </row>
  </sheetData>
  <mergeCells count="37">
    <mergeCell ref="A1:AR3"/>
    <mergeCell ref="A4:A5"/>
    <mergeCell ref="B4:B5"/>
    <mergeCell ref="C4:I4"/>
    <mergeCell ref="J4:P4"/>
    <mergeCell ref="Q4:W4"/>
    <mergeCell ref="X4:AD4"/>
    <mergeCell ref="AE4:AK4"/>
    <mergeCell ref="AL4:AR4"/>
    <mergeCell ref="A6:A18"/>
    <mergeCell ref="A19:A24"/>
    <mergeCell ref="C26:E26"/>
    <mergeCell ref="F26:L26"/>
    <mergeCell ref="O26:Q26"/>
    <mergeCell ref="R26:X26"/>
    <mergeCell ref="C27:E27"/>
    <mergeCell ref="O27:Q27"/>
    <mergeCell ref="C28:E28"/>
    <mergeCell ref="O28:Q28"/>
    <mergeCell ref="C29:E29"/>
    <mergeCell ref="O29:Q29"/>
    <mergeCell ref="C30:E30"/>
    <mergeCell ref="O30:Q30"/>
    <mergeCell ref="C31:E31"/>
    <mergeCell ref="O31:Q31"/>
    <mergeCell ref="K42:Y42"/>
    <mergeCell ref="L43:R43"/>
    <mergeCell ref="T43:Y43"/>
    <mergeCell ref="L44:R44"/>
    <mergeCell ref="T44:Y44"/>
    <mergeCell ref="L45:R45"/>
    <mergeCell ref="T45:Y45"/>
    <mergeCell ref="L46:R46"/>
    <mergeCell ref="T46:Y46"/>
    <mergeCell ref="L47:R47"/>
    <mergeCell ref="T47:Y47"/>
    <mergeCell ref="T48:Y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2024-12-25T12:25:04Z</dcterms:created>
  <dc:creator>PADMA SHREE</dc:creator>
  <dc:description/>
  <dc:language>en-US</dc:language>
  <cp:lastModifiedBy/>
  <cp:lastPrinted>2025-06-23T16:05:19Z</cp:lastPrinted>
  <dcterms:modified xsi:type="dcterms:W3CDTF">2025-12-10T14:49:16Z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